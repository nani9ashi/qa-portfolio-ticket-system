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lowestEdited="4"/>
  <workbookPr backupFile="false" showObjects="all" date1904="false"/>
  <workbookProtection/>
  <bookViews>
    <workbookView showHorizontalScroll="true" showVerticalScroll="true" showSheetTabs="true" xWindow="0" yWindow="0" windowWidth="16384" windowHeight="8192" tabRatio="500" firstSheet="0" activeTab="0"/>
  </bookViews>
  <sheets>
    <sheet name="サマリ" sheetId="1" state="visible" r:id="rId3"/>
    <sheet name="テストケース一覧" sheetId="2" state="visible" r:id="rId4"/>
    <sheet name="実行履歴" sheetId="3" state="visible" r:id="rId5"/>
    <sheet name="欠陥一覧" sheetId="4" state="visible" r:id="rId6"/>
  </sheets>
  <definedNames>
    <definedName function="false" hidden="true" localSheetId="1" name="_xlnm._FilterDatabase" vbProcedure="false">テストケース一覧!$A$1:$P$47</definedName>
    <definedName function="false" hidden="true" localSheetId="2" name="_xlnm._FilterDatabase" vbProcedure="false">実行履歴!$A$1:$K$47</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<sst xmlns="http://schemas.openxmlformats.org/spreadsheetml/2006/main" count="1192" uniqueCount="580">
  <si>
    <t xml:space="preserve">テストケース一覧 ― サマリ（設計＋実行結果）</t>
  </si>
  <si>
    <t xml:space="preserve">対象システム</t>
  </si>
  <si>
    <r>
      <rPr>
        <sz val="10"/>
        <color rgb="FF000000"/>
        <rFont val="Meiryo"/>
        <family val="0"/>
        <charset val="1"/>
      </rPr>
      <t xml:space="preserve">BtoB </t>
    </r>
    <r>
      <rPr>
        <sz val="10"/>
        <color rgb="FF000000"/>
        <rFont val="Noto Sans CJK SC"/>
        <family val="2"/>
      </rPr>
      <t xml:space="preserve">チケット管理システム（</t>
    </r>
    <r>
      <rPr>
        <sz val="10"/>
        <color rgb="FF000000"/>
        <rFont val="Meiryo"/>
        <family val="0"/>
        <charset val="1"/>
      </rPr>
      <t xml:space="preserve">Django / RBAC</t>
    </r>
    <r>
      <rPr>
        <sz val="10"/>
        <color rgb="FF000000"/>
        <rFont val="Noto Sans CJK SC"/>
        <family val="2"/>
      </rPr>
      <t xml:space="preserve">・状態遷移・入力検証）</t>
    </r>
  </si>
  <si>
    <t xml:space="preserve">テスト対象</t>
  </si>
  <si>
    <r>
      <rPr>
        <sz val="10"/>
        <color rgb="FF000000"/>
        <rFont val="Meiryo"/>
        <family val="0"/>
        <charset val="1"/>
      </rPr>
      <t xml:space="preserve">SUT: qa-portfolio-ticket-system</t>
    </r>
    <r>
      <rPr>
        <sz val="10"/>
        <color rgb="FF000000"/>
        <rFont val="Noto Sans CJK SC"/>
        <family val="2"/>
      </rPr>
      <t xml:space="preserve">（</t>
    </r>
    <r>
      <rPr>
        <sz val="10"/>
        <color rgb="FF000000"/>
        <rFont val="Meiryo"/>
        <family val="0"/>
        <charset val="1"/>
      </rPr>
      <t xml:space="preserve">app/</t>
    </r>
    <r>
      <rPr>
        <sz val="10"/>
        <color rgb="FF000000"/>
        <rFont val="Noto Sans CJK SC"/>
        <family val="2"/>
      </rPr>
      <t xml:space="preserve">）</t>
    </r>
  </si>
  <si>
    <t xml:space="preserve">テスト方針</t>
  </si>
  <si>
    <r>
      <rPr>
        <sz val="10"/>
        <color rgb="FF000000"/>
        <rFont val="Meiryo"/>
        <family val="0"/>
        <charset val="1"/>
      </rPr>
      <t xml:space="preserve">JSTQB </t>
    </r>
    <r>
      <rPr>
        <sz val="10"/>
        <color rgb="FF000000"/>
        <rFont val="Noto Sans CJK SC"/>
        <family val="2"/>
      </rPr>
      <t xml:space="preserve">準拠（計画→設計→実行→完了報告）／テストピラミッド</t>
    </r>
    <r>
      <rPr>
        <sz val="10"/>
        <color rgb="FF000000"/>
        <rFont val="Meiryo"/>
        <family val="0"/>
        <charset val="1"/>
      </rPr>
      <t xml:space="preserve">3</t>
    </r>
    <r>
      <rPr>
        <sz val="10"/>
        <color rgb="FF000000"/>
        <rFont val="Noto Sans CJK SC"/>
        <family val="2"/>
      </rPr>
      <t xml:space="preserve">層配分</t>
    </r>
  </si>
  <si>
    <t xml:space="preserve">作成者</t>
  </si>
  <si>
    <t xml:space="preserve">仁後慎太郎</t>
  </si>
  <si>
    <t xml:space="preserve">出典</t>
  </si>
  <si>
    <r>
      <rPr>
        <sz val="10"/>
        <color rgb="FF000000"/>
        <rFont val="Meiryo"/>
        <family val="0"/>
        <charset val="1"/>
      </rPr>
      <t xml:space="preserve">GitHub qa/testcases.csv </t>
    </r>
    <r>
      <rPr>
        <sz val="10"/>
        <color rgb="FF000000"/>
        <rFont val="Noto Sans CJK SC"/>
        <family val="2"/>
      </rPr>
      <t xml:space="preserve">＋ </t>
    </r>
    <r>
      <rPr>
        <sz val="10"/>
        <color rgb="FF000000"/>
        <rFont val="Meiryo"/>
        <family val="0"/>
        <charset val="1"/>
      </rPr>
      <t xml:space="preserve">qa/results/test_results.csv </t>
    </r>
    <r>
      <rPr>
        <sz val="10"/>
        <color rgb="FF000000"/>
        <rFont val="Noto Sans CJK SC"/>
        <family val="2"/>
      </rPr>
      <t xml:space="preserve">＋ </t>
    </r>
    <r>
      <rPr>
        <sz val="10"/>
        <color rgb="FF000000"/>
        <rFont val="Meiryo"/>
        <family val="0"/>
        <charset val="1"/>
      </rPr>
      <t xml:space="preserve">qa/defects/defect_log.csv </t>
    </r>
    <r>
      <rPr>
        <sz val="10"/>
        <color rgb="FF000000"/>
        <rFont val="Noto Sans CJK SC"/>
        <family val="2"/>
      </rPr>
      <t xml:space="preserve">を統合</t>
    </r>
  </si>
  <si>
    <t xml:space="preserve">設計サマリ</t>
  </si>
  <si>
    <t xml:space="preserve">区分</t>
  </si>
  <si>
    <t xml:space="preserve">項目</t>
  </si>
  <si>
    <t xml:space="preserve">件数</t>
  </si>
  <si>
    <t xml:space="preserve">備考</t>
  </si>
  <si>
    <t xml:space="preserve">全体</t>
  </si>
  <si>
    <t xml:space="preserve">総テストケース数</t>
  </si>
  <si>
    <r>
      <rPr>
        <sz val="9"/>
        <color rgb="FF595959"/>
        <rFont val="Noto Sans CJK SC"/>
        <family val="2"/>
      </rPr>
      <t xml:space="preserve">設計ベース</t>
    </r>
    <r>
      <rPr>
        <sz val="9"/>
        <color rgb="FF595959"/>
        <rFont val="Meiryo"/>
        <family val="0"/>
        <charset val="1"/>
      </rPr>
      <t xml:space="preserve">46</t>
    </r>
    <r>
      <rPr>
        <sz val="9"/>
        <color rgb="FF595959"/>
        <rFont val="Noto Sans CJK SC"/>
        <family val="2"/>
      </rPr>
      <t xml:space="preserve">件</t>
    </r>
  </si>
  <si>
    <t xml:space="preserve">優先度</t>
  </si>
  <si>
    <r>
      <rPr>
        <sz val="10"/>
        <color rgb="FF000000"/>
        <rFont val="Meiryo"/>
        <family val="0"/>
        <charset val="1"/>
      </rPr>
      <t xml:space="preserve">P1</t>
    </r>
    <r>
      <rPr>
        <sz val="10"/>
        <color rgb="FF000000"/>
        <rFont val="Noto Sans CJK SC"/>
        <family val="2"/>
      </rPr>
      <t xml:space="preserve">（高：認可・認証・遷移禁止）</t>
    </r>
  </si>
  <si>
    <r>
      <rPr>
        <sz val="10"/>
        <color rgb="FF000000"/>
        <rFont val="Meiryo"/>
        <family val="0"/>
        <charset val="1"/>
      </rPr>
      <t xml:space="preserve">P2</t>
    </r>
    <r>
      <rPr>
        <sz val="10"/>
        <color rgb="FF000000"/>
        <rFont val="Noto Sans CJK SC"/>
        <family val="2"/>
      </rPr>
      <t xml:space="preserve">（中：正常系・境界・</t>
    </r>
    <r>
      <rPr>
        <sz val="10"/>
        <color rgb="FF000000"/>
        <rFont val="Meiryo"/>
        <family val="0"/>
        <charset val="1"/>
      </rPr>
      <t xml:space="preserve">UX</t>
    </r>
    <r>
      <rPr>
        <sz val="10"/>
        <color rgb="FF000000"/>
        <rFont val="Noto Sans CJK SC"/>
        <family val="2"/>
      </rPr>
      <t xml:space="preserve">）</t>
    </r>
  </si>
  <si>
    <t xml:space="preserve">自動化</t>
  </si>
  <si>
    <r>
      <rPr>
        <sz val="10"/>
        <color rgb="FF000000"/>
        <rFont val="Noto Sans CJK SC"/>
        <family val="2"/>
      </rPr>
      <t xml:space="preserve">自動化対応（</t>
    </r>
    <r>
      <rPr>
        <sz val="10"/>
        <color rgb="FF000000"/>
        <rFont val="Meiryo"/>
        <family val="0"/>
        <charset val="1"/>
      </rPr>
      <t xml:space="preserve">API/E2E</t>
    </r>
    <r>
      <rPr>
        <sz val="10"/>
        <color rgb="FF000000"/>
        <rFont val="Noto Sans CJK SC"/>
        <family val="2"/>
      </rPr>
      <t xml:space="preserve">）</t>
    </r>
  </si>
  <si>
    <r>
      <rPr>
        <sz val="9"/>
        <color rgb="FF595959"/>
        <rFont val="Meiryo"/>
        <family val="0"/>
        <charset val="1"/>
      </rPr>
      <t xml:space="preserve">runn API</t>
    </r>
    <r>
      <rPr>
        <sz val="9"/>
        <color rgb="FF595959"/>
        <rFont val="Noto Sans CJK SC"/>
        <family val="2"/>
      </rPr>
      <t xml:space="preserve">層・</t>
    </r>
    <r>
      <rPr>
        <sz val="9"/>
        <color rgb="FF595959"/>
        <rFont val="Meiryo"/>
        <family val="0"/>
        <charset val="1"/>
      </rPr>
      <t xml:space="preserve">Playwright E2E</t>
    </r>
  </si>
  <si>
    <t xml:space="preserve">手動専用</t>
  </si>
  <si>
    <t xml:space="preserve">テスト実行結果（手動ログ）</t>
  </si>
  <si>
    <t xml:space="preserve">実行</t>
  </si>
  <si>
    <r>
      <rPr>
        <sz val="10"/>
        <color rgb="FF000000"/>
        <rFont val="Noto Sans CJK SC"/>
        <family val="2"/>
      </rPr>
      <t xml:space="preserve">実行件数（</t>
    </r>
    <r>
      <rPr>
        <sz val="10"/>
        <color rgb="FF000000"/>
        <rFont val="Meiryo"/>
        <family val="0"/>
        <charset val="1"/>
      </rPr>
      <t xml:space="preserve">TR</t>
    </r>
    <r>
      <rPr>
        <sz val="10"/>
        <color rgb="FF000000"/>
        <rFont val="Noto Sans CJK SC"/>
        <family val="2"/>
      </rPr>
      <t xml:space="preserve">）</t>
    </r>
  </si>
  <si>
    <r>
      <rPr>
        <sz val="9"/>
        <color rgb="FF595959"/>
        <rFont val="Meiryo"/>
        <family val="0"/>
        <charset val="1"/>
      </rPr>
      <t xml:space="preserve">2026-01-13</t>
    </r>
    <r>
      <rPr>
        <sz val="9"/>
        <color rgb="FF595959"/>
        <rFont val="Noto Sans CJK SC"/>
        <family val="2"/>
      </rPr>
      <t xml:space="preserve">〜</t>
    </r>
    <r>
      <rPr>
        <sz val="9"/>
        <color rgb="FF595959"/>
        <rFont val="Meiryo"/>
        <family val="0"/>
        <charset val="1"/>
      </rPr>
      <t xml:space="preserve">02-12</t>
    </r>
  </si>
  <si>
    <r>
      <rPr>
        <sz val="10"/>
        <color rgb="FF000000"/>
        <rFont val="Noto Sans CJK SC"/>
        <family val="2"/>
      </rPr>
      <t xml:space="preserve">合格（</t>
    </r>
    <r>
      <rPr>
        <sz val="10"/>
        <color rgb="FF000000"/>
        <rFont val="Meiryo"/>
        <family val="0"/>
        <charset val="1"/>
      </rPr>
      <t xml:space="preserve">Pass</t>
    </r>
    <r>
      <rPr>
        <sz val="10"/>
        <color rgb="FF000000"/>
        <rFont val="Noto Sans CJK SC"/>
        <family val="2"/>
      </rPr>
      <t xml:space="preserve">）</t>
    </r>
  </si>
  <si>
    <r>
      <rPr>
        <sz val="10"/>
        <color rgb="FF000000"/>
        <rFont val="Noto Sans CJK SC"/>
        <family val="2"/>
      </rPr>
      <t xml:space="preserve">不合格（</t>
    </r>
    <r>
      <rPr>
        <sz val="10"/>
        <color rgb="FF000000"/>
        <rFont val="Meiryo"/>
        <family val="0"/>
        <charset val="1"/>
      </rPr>
      <t xml:space="preserve">Fail</t>
    </r>
    <r>
      <rPr>
        <sz val="10"/>
        <color rgb="FF000000"/>
        <rFont val="Noto Sans CJK SC"/>
        <family val="2"/>
      </rPr>
      <t xml:space="preserve">）</t>
    </r>
  </si>
  <si>
    <r>
      <rPr>
        <sz val="9"/>
        <color rgb="FF595959"/>
        <rFont val="Noto Sans CJK SC"/>
        <family val="2"/>
      </rPr>
      <t xml:space="preserve">意図的欠陥ビルドでの</t>
    </r>
    <r>
      <rPr>
        <sz val="9"/>
        <color rgb="FF595959"/>
        <rFont val="Meiryo"/>
        <family val="0"/>
        <charset val="1"/>
      </rPr>
      <t xml:space="preserve">IDOR</t>
    </r>
    <r>
      <rPr>
        <sz val="9"/>
        <color rgb="FF595959"/>
        <rFont val="Noto Sans CJK SC"/>
        <family val="2"/>
      </rPr>
      <t xml:space="preserve">再現</t>
    </r>
    <r>
      <rPr>
        <sz val="9"/>
        <color rgb="FF595959"/>
        <rFont val="Meiryo"/>
        <family val="0"/>
        <charset val="1"/>
      </rPr>
      <t xml:space="preserve">(TR-0001/0002)</t>
    </r>
  </si>
  <si>
    <r>
      <rPr>
        <sz val="10"/>
        <color rgb="FF000000"/>
        <rFont val="Noto Sans CJK SC"/>
        <family val="2"/>
      </rPr>
      <t xml:space="preserve">実行不可（</t>
    </r>
    <r>
      <rPr>
        <sz val="10"/>
        <color rgb="FF000000"/>
        <rFont val="Meiryo"/>
        <family val="0"/>
        <charset val="1"/>
      </rPr>
      <t xml:space="preserve">Blocked</t>
    </r>
    <r>
      <rPr>
        <sz val="10"/>
        <color rgb="FF000000"/>
        <rFont val="Noto Sans CJK SC"/>
        <family val="2"/>
      </rPr>
      <t xml:space="preserve">）</t>
    </r>
  </si>
  <si>
    <t xml:space="preserve">0</t>
  </si>
  <si>
    <r>
      <rPr>
        <b val="true"/>
        <sz val="10"/>
        <color rgb="FF000000"/>
        <rFont val="Noto Sans CJK SC"/>
        <family val="2"/>
      </rPr>
      <t xml:space="preserve">対象</t>
    </r>
    <r>
      <rPr>
        <b val="true"/>
        <sz val="10"/>
        <color rgb="FF000000"/>
        <rFont val="Meiryo"/>
        <family val="0"/>
        <charset val="1"/>
      </rPr>
      <t xml:space="preserve">TC</t>
    </r>
  </si>
  <si>
    <r>
      <rPr>
        <sz val="9"/>
        <color rgb="FF000000"/>
        <rFont val="Noto Sans CJK SC"/>
        <family val="2"/>
      </rPr>
      <t xml:space="preserve">手動実行</t>
    </r>
    <r>
      <rPr>
        <sz val="9"/>
        <color rgb="FF000000"/>
        <rFont val="Meiryo"/>
        <family val="0"/>
        <charset val="1"/>
      </rPr>
      <t xml:space="preserve">=TC-001</t>
    </r>
    <r>
      <rPr>
        <sz val="9"/>
        <color rgb="FF000000"/>
        <rFont val="Noto Sans CJK SC"/>
        <family val="2"/>
      </rPr>
      <t xml:space="preserve">〜</t>
    </r>
    <r>
      <rPr>
        <sz val="9"/>
        <color rgb="FF000000"/>
        <rFont val="Meiryo"/>
        <family val="0"/>
        <charset val="1"/>
      </rPr>
      <t xml:space="preserve">044</t>
    </r>
    <r>
      <rPr>
        <sz val="9"/>
        <color rgb="FF000000"/>
        <rFont val="Noto Sans CJK SC"/>
        <family val="2"/>
      </rPr>
      <t xml:space="preserve">（</t>
    </r>
    <r>
      <rPr>
        <sz val="9"/>
        <color rgb="FF000000"/>
        <rFont val="Meiryo"/>
        <family val="0"/>
        <charset val="1"/>
      </rPr>
      <t xml:space="preserve">44</t>
    </r>
    <r>
      <rPr>
        <sz val="9"/>
        <color rgb="FF000000"/>
        <rFont val="Noto Sans CJK SC"/>
        <family val="2"/>
      </rPr>
      <t xml:space="preserve">件）。</t>
    </r>
    <r>
      <rPr>
        <sz val="9"/>
        <color rgb="FF000000"/>
        <rFont val="Meiryo"/>
        <family val="0"/>
        <charset val="1"/>
      </rPr>
      <t xml:space="preserve">TC-045/046 </t>
    </r>
    <r>
      <rPr>
        <sz val="9"/>
        <color rgb="FF000000"/>
        <rFont val="Noto Sans CJK SC"/>
        <family val="2"/>
      </rPr>
      <t xml:space="preserve">は自動テスト層</t>
    </r>
    <r>
      <rPr>
        <sz val="9"/>
        <color rgb="FF000000"/>
        <rFont val="Meiryo"/>
        <family val="0"/>
        <charset val="1"/>
      </rPr>
      <t xml:space="preserve">(API-C)</t>
    </r>
    <r>
      <rPr>
        <sz val="9"/>
        <color rgb="FF000000"/>
        <rFont val="Noto Sans CJK SC"/>
        <family val="2"/>
      </rPr>
      <t xml:space="preserve">でカバー</t>
    </r>
  </si>
  <si>
    <t xml:space="preserve">回帰</t>
  </si>
  <si>
    <r>
      <rPr>
        <sz val="9"/>
        <color rgb="FF000000"/>
        <rFont val="Noto Sans CJK SC"/>
        <family val="2"/>
      </rPr>
      <t xml:space="preserve">不合格</t>
    </r>
    <r>
      <rPr>
        <sz val="9"/>
        <color rgb="FF000000"/>
        <rFont val="Meiryo"/>
        <family val="0"/>
        <charset val="1"/>
      </rPr>
      <t xml:space="preserve">2</t>
    </r>
    <r>
      <rPr>
        <sz val="9"/>
        <color rgb="FF000000"/>
        <rFont val="Noto Sans CJK SC"/>
        <family val="2"/>
      </rPr>
      <t xml:space="preserve">件は </t>
    </r>
    <r>
      <rPr>
        <sz val="9"/>
        <color rgb="FF000000"/>
        <rFont val="Meiryo"/>
        <family val="0"/>
        <charset val="1"/>
      </rPr>
      <t xml:space="preserve">DEFECT-001 </t>
    </r>
    <r>
      <rPr>
        <sz val="9"/>
        <color rgb="FF000000"/>
        <rFont val="Noto Sans CJK SC"/>
        <family val="2"/>
      </rPr>
      <t xml:space="preserve">として修正→回帰合格</t>
    </r>
    <r>
      <rPr>
        <sz val="9"/>
        <color rgb="FF000000"/>
        <rFont val="Meiryo"/>
        <family val="0"/>
        <charset val="1"/>
      </rPr>
      <t xml:space="preserve">(TR-0003/0004)</t>
    </r>
  </si>
  <si>
    <t xml:space="preserve">欠陥</t>
  </si>
  <si>
    <r>
      <rPr>
        <sz val="9"/>
        <color rgb="FF000000"/>
        <rFont val="Noto Sans CJK SC"/>
        <family val="2"/>
      </rPr>
      <t xml:space="preserve">検出</t>
    </r>
    <r>
      <rPr>
        <sz val="9"/>
        <color rgb="FF000000"/>
        <rFont val="Meiryo"/>
        <family val="0"/>
        <charset val="1"/>
      </rPr>
      <t xml:space="preserve">3</t>
    </r>
    <r>
      <rPr>
        <sz val="9"/>
        <color rgb="FF000000"/>
        <rFont val="Noto Sans CJK SC"/>
        <family val="2"/>
      </rPr>
      <t xml:space="preserve">件</t>
    </r>
    <r>
      <rPr>
        <sz val="9"/>
        <color rgb="FF000000"/>
        <rFont val="Meiryo"/>
        <family val="0"/>
        <charset val="1"/>
      </rPr>
      <t xml:space="preserve">=DEFECT-001(IDOR/</t>
    </r>
    <r>
      <rPr>
        <sz val="9"/>
        <color rgb="FF000000"/>
        <rFont val="Noto Sans CJK SC"/>
        <family val="2"/>
      </rPr>
      <t xml:space="preserve">手動</t>
    </r>
    <r>
      <rPr>
        <sz val="9"/>
        <color rgb="FF000000"/>
        <rFont val="Meiryo"/>
        <family val="0"/>
        <charset val="1"/>
      </rPr>
      <t xml:space="preserve">)</t>
    </r>
    <r>
      <rPr>
        <sz val="9"/>
        <color rgb="FF000000"/>
        <rFont val="Noto Sans CJK SC"/>
        <family val="2"/>
      </rPr>
      <t xml:space="preserve">・</t>
    </r>
    <r>
      <rPr>
        <sz val="9"/>
        <color rgb="FF000000"/>
        <rFont val="Meiryo"/>
        <family val="0"/>
        <charset val="1"/>
      </rPr>
      <t xml:space="preserve">002(body/</t>
    </r>
    <r>
      <rPr>
        <sz val="9"/>
        <color rgb="FF000000"/>
        <rFont val="Noto Sans CJK SC"/>
        <family val="2"/>
      </rPr>
      <t xml:space="preserve">自動</t>
    </r>
    <r>
      <rPr>
        <sz val="9"/>
        <color rgb="FF000000"/>
        <rFont val="Meiryo"/>
        <family val="0"/>
        <charset val="1"/>
      </rPr>
      <t xml:space="preserve">)</t>
    </r>
    <r>
      <rPr>
        <sz val="9"/>
        <color rgb="FF000000"/>
        <rFont val="Noto Sans CJK SC"/>
        <family val="2"/>
      </rPr>
      <t xml:space="preserve">・</t>
    </r>
    <r>
      <rPr>
        <sz val="9"/>
        <color rgb="FF000000"/>
        <rFont val="Meiryo"/>
        <family val="0"/>
        <charset val="1"/>
      </rPr>
      <t xml:space="preserve">003(</t>
    </r>
    <r>
      <rPr>
        <sz val="9"/>
        <color rgb="FF000000"/>
        <rFont val="Noto Sans CJK SC"/>
        <family val="2"/>
      </rPr>
      <t xml:space="preserve">期限</t>
    </r>
    <r>
      <rPr>
        <sz val="9"/>
        <color rgb="FF000000"/>
        <rFont val="Meiryo"/>
        <family val="0"/>
        <charset val="1"/>
      </rPr>
      <t xml:space="preserve">/API</t>
    </r>
    <r>
      <rPr>
        <sz val="9"/>
        <color rgb="FF000000"/>
        <rFont val="Noto Sans CJK SC"/>
        <family val="2"/>
      </rPr>
      <t xml:space="preserve">層が検出</t>
    </r>
    <r>
      <rPr>
        <sz val="9"/>
        <color rgb="FF000000"/>
        <rFont val="Meiryo"/>
        <family val="0"/>
        <charset val="1"/>
      </rPr>
      <t xml:space="preserve">)</t>
    </r>
    <r>
      <rPr>
        <sz val="9"/>
        <color rgb="FF000000"/>
        <rFont val="Noto Sans CJK SC"/>
        <family val="2"/>
      </rPr>
      <t xml:space="preserve">。重大欠陥</t>
    </r>
    <r>
      <rPr>
        <sz val="9"/>
        <color rgb="FF000000"/>
        <rFont val="Meiryo"/>
        <family val="0"/>
        <charset val="1"/>
      </rPr>
      <t xml:space="preserve">(Critical/High)</t>
    </r>
    <r>
      <rPr>
        <sz val="9"/>
        <color rgb="FF000000"/>
        <rFont val="Noto Sans CJK SC"/>
        <family val="2"/>
      </rPr>
      <t xml:space="preserve">未解決</t>
    </r>
    <r>
      <rPr>
        <sz val="9"/>
        <color rgb="FF000000"/>
        <rFont val="Meiryo"/>
        <family val="0"/>
        <charset val="1"/>
      </rPr>
      <t xml:space="preserve">=0</t>
    </r>
    <r>
      <rPr>
        <sz val="9"/>
        <color rgb="FF000000"/>
        <rFont val="Noto Sans CJK SC"/>
        <family val="2"/>
      </rPr>
      <t xml:space="preserve">。詳細は『欠陥一覧』シート</t>
    </r>
  </si>
  <si>
    <t xml:space="preserve">凡例</t>
  </si>
  <si>
    <r>
      <rPr>
        <sz val="9"/>
        <color rgb="FF595959"/>
        <rFont val="Noto Sans CJK SC"/>
        <family val="2"/>
      </rPr>
      <t xml:space="preserve">実行結果</t>
    </r>
    <r>
      <rPr>
        <sz val="9"/>
        <color rgb="FF595959"/>
        <rFont val="Meiryo"/>
        <family val="0"/>
        <charset val="1"/>
      </rPr>
      <t xml:space="preserve">=</t>
    </r>
    <r>
      <rPr>
        <sz val="9"/>
        <color rgb="FF595959"/>
        <rFont val="Noto Sans CJK SC"/>
        <family val="2"/>
      </rPr>
      <t xml:space="preserve">各</t>
    </r>
    <r>
      <rPr>
        <sz val="9"/>
        <color rgb="FF595959"/>
        <rFont val="Meiryo"/>
        <family val="0"/>
        <charset val="1"/>
      </rPr>
      <t xml:space="preserve">TC</t>
    </r>
    <r>
      <rPr>
        <sz val="9"/>
        <color rgb="FF595959"/>
        <rFont val="Noto Sans CJK SC"/>
        <family val="2"/>
      </rPr>
      <t xml:space="preserve">の最新結果（合格／合格（回帰）／— 手動記録なし）。全実行の時系列は『実行履歴』、欠陥は『欠陥一覧』シート参照。</t>
    </r>
  </si>
  <si>
    <t xml:space="preserve">TC-ID</t>
  </si>
  <si>
    <t xml:space="preserve">画面</t>
  </si>
  <si>
    <t xml:space="preserve">機能</t>
  </si>
  <si>
    <t xml:space="preserve">テスト観点</t>
  </si>
  <si>
    <t xml:space="preserve">確認内容</t>
  </si>
  <si>
    <t xml:space="preserve">前提条件</t>
  </si>
  <si>
    <t xml:space="preserve">テスト手順</t>
  </si>
  <si>
    <t xml:space="preserve">期待結果</t>
  </si>
  <si>
    <t xml:space="preserve">対応要件</t>
  </si>
  <si>
    <r>
      <rPr>
        <b val="true"/>
        <sz val="10"/>
        <color rgb="FFFFFFFF"/>
        <rFont val="Noto Sans CJK SC"/>
        <family val="2"/>
      </rPr>
      <t xml:space="preserve">自動化</t>
    </r>
    <r>
      <rPr>
        <b val="true"/>
        <sz val="10"/>
        <color rgb="FFFFFFFF"/>
        <rFont val="Meiryo"/>
        <family val="0"/>
        <charset val="1"/>
      </rPr>
      <t xml:space="preserve">/</t>
    </r>
    <r>
      <rPr>
        <b val="true"/>
        <sz val="10"/>
        <color rgb="FFFFFFFF"/>
        <rFont val="Noto Sans CJK SC"/>
        <family val="2"/>
      </rPr>
      <t xml:space="preserve">対応層</t>
    </r>
  </si>
  <si>
    <t xml:space="preserve">実行結果</t>
  </si>
  <si>
    <t xml:space="preserve">実施日</t>
  </si>
  <si>
    <r>
      <rPr>
        <b val="true"/>
        <sz val="10"/>
        <color rgb="FFFFFFFF"/>
        <rFont val="Noto Sans CJK SC"/>
        <family val="2"/>
      </rPr>
      <t xml:space="preserve">証跡</t>
    </r>
    <r>
      <rPr>
        <b val="true"/>
        <sz val="10"/>
        <color rgb="FFFFFFFF"/>
        <rFont val="Meiryo"/>
        <family val="0"/>
        <charset val="1"/>
      </rPr>
      <t xml:space="preserve">(TR)</t>
    </r>
  </si>
  <si>
    <t xml:space="preserve">TC-001</t>
  </si>
  <si>
    <t xml:space="preserve">チケット詳細画面</t>
  </si>
  <si>
    <t xml:space="preserve">チケット参照権限</t>
  </si>
  <si>
    <t xml:space="preserve">認可：データ所有権</t>
  </si>
  <si>
    <t xml:space="preserve">依頼者が自分のチケット詳細を参照できる</t>
  </si>
  <si>
    <r>
      <rPr>
        <sz val="9"/>
        <color rgb="FF000000"/>
        <rFont val="Noto Sans CJK SC"/>
        <family val="2"/>
      </rPr>
      <t xml:space="preserve">依頼者でログイン済み</t>
    </r>
    <r>
      <rPr>
        <sz val="9"/>
        <color rgb="FF000000"/>
        <rFont val="Meiryo"/>
        <family val="0"/>
        <charset val="1"/>
      </rPr>
      <t xml:space="preserve">; </t>
    </r>
    <r>
      <rPr>
        <sz val="9"/>
        <color rgb="FF000000"/>
        <rFont val="Noto Sans CJK SC"/>
        <family val="2"/>
      </rPr>
      <t xml:space="preserve">自分のチケットが存在する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チケット</t>
    </r>
    <r>
      <rPr>
        <sz val="9"/>
        <color rgb="FF000000"/>
        <rFont val="Meiryo"/>
        <family val="0"/>
        <charset val="1"/>
      </rPr>
      <t xml:space="preserve">:Ticket #1(</t>
    </r>
    <r>
      <rPr>
        <sz val="9"/>
        <color rgb="FF000000"/>
        <rFont val="Noto Sans CJK SC"/>
        <family val="2"/>
      </rPr>
      <t xml:space="preserve">所有者</t>
    </r>
    <r>
      <rPr>
        <sz val="9"/>
        <color rgb="FF000000"/>
        <rFont val="Meiryo"/>
        <family val="0"/>
        <charset val="1"/>
      </rPr>
      <t xml:space="preserve">=requester1)</t>
    </r>
  </si>
  <si>
    <t xml:space="preserve">一覧から自分のチケットを開く</t>
  </si>
  <si>
    <t xml:space="preserve">詳細画面が表示され内容が参照できる</t>
  </si>
  <si>
    <t xml:space="preserve">P1</t>
  </si>
  <si>
    <t xml:space="preserve">RQ-015</t>
  </si>
  <si>
    <r>
      <rPr>
        <sz val="9"/>
        <color rgb="FF000000"/>
        <rFont val="Meiryo"/>
        <family val="0"/>
        <charset val="1"/>
      </rPr>
      <t xml:space="preserve">Auto-01</t>
    </r>
    <r>
      <rPr>
        <sz val="9"/>
        <color rgb="FF000000"/>
        <rFont val="Noto Sans CJK SC"/>
        <family val="2"/>
      </rPr>
      <t xml:space="preserve">（</t>
    </r>
    <r>
      <rPr>
        <sz val="9"/>
        <color rgb="FF000000"/>
        <rFont val="Meiryo"/>
        <family val="0"/>
        <charset val="1"/>
      </rPr>
      <t xml:space="preserve">E2E</t>
    </r>
    <r>
      <rPr>
        <sz val="9"/>
        <color rgb="FF000000"/>
        <rFont val="Noto Sans CJK SC"/>
        <family val="2"/>
      </rPr>
      <t xml:space="preserve">）</t>
    </r>
    <r>
      <rPr>
        <sz val="9"/>
        <color rgb="FF000000"/>
        <rFont val="Meiryo"/>
        <family val="0"/>
        <charset val="1"/>
      </rPr>
      <t xml:space="preserve">/ API-A</t>
    </r>
    <r>
      <rPr>
        <sz val="9"/>
        <color rgb="FF000000"/>
        <rFont val="Noto Sans CJK SC"/>
        <family val="2"/>
      </rPr>
      <t xml:space="preserve">（</t>
    </r>
    <r>
      <rPr>
        <sz val="9"/>
        <color rgb="FF000000"/>
        <rFont val="Meiryo"/>
        <family val="0"/>
        <charset val="1"/>
      </rPr>
      <t xml:space="preserve">view_authorization</t>
    </r>
    <r>
      <rPr>
        <sz val="9"/>
        <color rgb="FF000000"/>
        <rFont val="Noto Sans CJK SC"/>
        <family val="2"/>
      </rPr>
      <t xml:space="preserve">）</t>
    </r>
  </si>
  <si>
    <t xml:space="preserve">合格</t>
  </si>
  <si>
    <t xml:space="preserve">2026/02/05</t>
  </si>
  <si>
    <t xml:space="preserve">TR-0005</t>
  </si>
  <si>
    <t xml:space="preserve">TC-002</t>
  </si>
  <si>
    <r>
      <rPr>
        <sz val="9"/>
        <color rgb="FF000000"/>
        <rFont val="Noto Sans CJK SC"/>
        <family val="2"/>
      </rPr>
      <t xml:space="preserve">認可：アクセス制御 </t>
    </r>
    <r>
      <rPr>
        <sz val="9"/>
        <color rgb="FF000000"/>
        <rFont val="Meiryo"/>
        <family val="0"/>
        <charset val="1"/>
      </rPr>
      <t xml:space="preserve">(ACL)</t>
    </r>
  </si>
  <si>
    <t xml:space="preserve">依頼者が他人のチケット詳細に直接アクセスできない</t>
  </si>
  <si>
    <r>
      <rPr>
        <sz val="9"/>
        <color rgb="FF000000"/>
        <rFont val="Noto Sans CJK SC"/>
        <family val="2"/>
      </rPr>
      <t xml:space="preserve">依頼者でログイン済み</t>
    </r>
    <r>
      <rPr>
        <sz val="9"/>
        <color rgb="FF000000"/>
        <rFont val="Meiryo"/>
        <family val="0"/>
        <charset val="1"/>
      </rPr>
      <t xml:space="preserve">; </t>
    </r>
    <r>
      <rPr>
        <sz val="9"/>
        <color rgb="FF000000"/>
        <rFont val="Noto Sans CJK SC"/>
        <family val="2"/>
      </rPr>
      <t xml:space="preserve">他人のチケットが存在する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他人のチケット</t>
    </r>
    <r>
      <rPr>
        <sz val="9"/>
        <color rgb="FF000000"/>
        <rFont val="Meiryo"/>
        <family val="0"/>
        <charset val="1"/>
      </rPr>
      <t xml:space="preserve">:Ticket #2(</t>
    </r>
    <r>
      <rPr>
        <sz val="9"/>
        <color rgb="FF000000"/>
        <rFont val="Noto Sans CJK SC"/>
        <family val="2"/>
      </rPr>
      <t xml:space="preserve">所有者</t>
    </r>
    <r>
      <rPr>
        <sz val="9"/>
        <color rgb="FF000000"/>
        <rFont val="Meiryo"/>
        <family val="0"/>
        <charset val="1"/>
      </rPr>
      <t xml:space="preserve">=requester2)</t>
    </r>
  </si>
  <si>
    <r>
      <rPr>
        <sz val="9"/>
        <color rgb="FF000000"/>
        <rFont val="Noto Sans CJK SC"/>
        <family val="2"/>
      </rPr>
      <t xml:space="preserve">他人のチケット詳細</t>
    </r>
    <r>
      <rPr>
        <sz val="9"/>
        <color rgb="FF000000"/>
        <rFont val="Meiryo"/>
        <family val="0"/>
        <charset val="1"/>
      </rPr>
      <t xml:space="preserve">URL</t>
    </r>
    <r>
      <rPr>
        <sz val="9"/>
        <color rgb="FF000000"/>
        <rFont val="Noto Sans CJK SC"/>
        <family val="2"/>
      </rPr>
      <t xml:space="preserve">を直接開く</t>
    </r>
  </si>
  <si>
    <t xml:space="preserve">アクセス拒否または権限エラーが表示され詳細は閲覧できない</t>
  </si>
  <si>
    <r>
      <rPr>
        <sz val="9"/>
        <color rgb="FF000000"/>
        <rFont val="Meiryo"/>
        <family val="0"/>
        <charset val="1"/>
      </rPr>
      <t xml:space="preserve">Auto-02</t>
    </r>
    <r>
      <rPr>
        <sz val="9"/>
        <color rgb="FF000000"/>
        <rFont val="Noto Sans CJK SC"/>
        <family val="2"/>
      </rPr>
      <t xml:space="preserve">（</t>
    </r>
    <r>
      <rPr>
        <sz val="9"/>
        <color rgb="FF000000"/>
        <rFont val="Meiryo"/>
        <family val="0"/>
        <charset val="1"/>
      </rPr>
      <t xml:space="preserve">E2E</t>
    </r>
    <r>
      <rPr>
        <sz val="9"/>
        <color rgb="FF000000"/>
        <rFont val="Noto Sans CJK SC"/>
        <family val="2"/>
      </rPr>
      <t xml:space="preserve">）</t>
    </r>
    <r>
      <rPr>
        <sz val="9"/>
        <color rgb="FF000000"/>
        <rFont val="Meiryo"/>
        <family val="0"/>
        <charset val="1"/>
      </rPr>
      <t xml:space="preserve">/ API-A</t>
    </r>
    <r>
      <rPr>
        <sz val="9"/>
        <color rgb="FF000000"/>
        <rFont val="Noto Sans CJK SC"/>
        <family val="2"/>
      </rPr>
      <t xml:space="preserve">（</t>
    </r>
    <r>
      <rPr>
        <sz val="9"/>
        <color rgb="FF000000"/>
        <rFont val="Meiryo"/>
        <family val="0"/>
        <charset val="1"/>
      </rPr>
      <t xml:space="preserve">idor</t>
    </r>
    <r>
      <rPr>
        <sz val="9"/>
        <color rgb="FF000000"/>
        <rFont val="Noto Sans CJK SC"/>
        <family val="2"/>
      </rPr>
      <t xml:space="preserve">）</t>
    </r>
  </si>
  <si>
    <t xml:space="preserve">合格（回帰）</t>
  </si>
  <si>
    <t xml:space="preserve">2026/01/19</t>
  </si>
  <si>
    <t xml:space="preserve">TR-0003</t>
  </si>
  <si>
    <t xml:space="preserve">DEFECT-001</t>
  </si>
  <si>
    <r>
      <rPr>
        <sz val="9"/>
        <color rgb="FF000000"/>
        <rFont val="Noto Sans CJK SC"/>
        <family val="2"/>
      </rPr>
      <t xml:space="preserve">初回不合格</t>
    </r>
    <r>
      <rPr>
        <sz val="9"/>
        <color rgb="FF000000"/>
        <rFont val="Meiryo"/>
        <family val="0"/>
        <charset val="1"/>
      </rPr>
      <t xml:space="preserve">(IDOR=ON)→</t>
    </r>
    <r>
      <rPr>
        <sz val="9"/>
        <color rgb="FF000000"/>
        <rFont val="Noto Sans CJK SC"/>
        <family val="2"/>
      </rPr>
      <t xml:space="preserve">修正→回帰合格</t>
    </r>
  </si>
  <si>
    <t xml:space="preserve">TC-003</t>
  </si>
  <si>
    <r>
      <rPr>
        <sz val="9"/>
        <color rgb="FF000000"/>
        <rFont val="Noto Sans CJK SC"/>
        <family val="2"/>
      </rPr>
      <t xml:space="preserve">認可：推測攻撃耐性 </t>
    </r>
    <r>
      <rPr>
        <sz val="9"/>
        <color rgb="FF000000"/>
        <rFont val="Meiryo"/>
        <family val="0"/>
        <charset val="1"/>
      </rPr>
      <t xml:space="preserve">(IDOR)</t>
    </r>
  </si>
  <si>
    <r>
      <rPr>
        <sz val="9"/>
        <color rgb="FF000000"/>
        <rFont val="Noto Sans CJK SC"/>
        <family val="2"/>
      </rPr>
      <t xml:space="preserve">依頼者が他人のチケット</t>
    </r>
    <r>
      <rPr>
        <sz val="9"/>
        <color rgb="FF000000"/>
        <rFont val="Meiryo"/>
        <family val="0"/>
        <charset val="1"/>
      </rPr>
      <t xml:space="preserve">ID</t>
    </r>
    <r>
      <rPr>
        <sz val="9"/>
        <color rgb="FF000000"/>
        <rFont val="Noto Sans CJK SC"/>
        <family val="2"/>
      </rPr>
      <t xml:space="preserve">を推測しても閲覧できない</t>
    </r>
  </si>
  <si>
    <r>
      <rPr>
        <sz val="9"/>
        <color rgb="FF000000"/>
        <rFont val="Meiryo"/>
        <family val="0"/>
        <charset val="1"/>
      </rPr>
      <t xml:space="preserve">URL</t>
    </r>
    <r>
      <rPr>
        <sz val="9"/>
        <color rgb="FF000000"/>
        <rFont val="Noto Sans CJK SC"/>
        <family val="2"/>
      </rPr>
      <t xml:space="preserve">内のチケット</t>
    </r>
    <r>
      <rPr>
        <sz val="9"/>
        <color rgb="FF000000"/>
        <rFont val="Meiryo"/>
        <family val="0"/>
        <charset val="1"/>
      </rPr>
      <t xml:space="preserve">ID</t>
    </r>
    <r>
      <rPr>
        <sz val="9"/>
        <color rgb="FF000000"/>
        <rFont val="Noto Sans CJK SC"/>
        <family val="2"/>
      </rPr>
      <t xml:space="preserve">を別</t>
    </r>
    <r>
      <rPr>
        <sz val="9"/>
        <color rgb="FF000000"/>
        <rFont val="Meiryo"/>
        <family val="0"/>
        <charset val="1"/>
      </rPr>
      <t xml:space="preserve">ID</t>
    </r>
    <r>
      <rPr>
        <sz val="9"/>
        <color rgb="FF000000"/>
        <rFont val="Noto Sans CJK SC"/>
        <family val="2"/>
      </rPr>
      <t xml:space="preserve">に変えてアクセスする</t>
    </r>
  </si>
  <si>
    <t xml:space="preserve">アクセス拒否または権限エラーが表示される</t>
  </si>
  <si>
    <r>
      <rPr>
        <sz val="9"/>
        <color rgb="FF000000"/>
        <rFont val="Meiryo"/>
        <family val="0"/>
        <charset val="1"/>
      </rPr>
      <t xml:space="preserve">API-A</t>
    </r>
    <r>
      <rPr>
        <sz val="9"/>
        <color rgb="FF000000"/>
        <rFont val="Noto Sans CJK SC"/>
        <family val="2"/>
      </rPr>
      <t xml:space="preserve">（</t>
    </r>
    <r>
      <rPr>
        <sz val="9"/>
        <color rgb="FF000000"/>
        <rFont val="Meiryo"/>
        <family val="0"/>
        <charset val="1"/>
      </rPr>
      <t xml:space="preserve">idor</t>
    </r>
    <r>
      <rPr>
        <sz val="9"/>
        <color rgb="FF000000"/>
        <rFont val="Noto Sans CJK SC"/>
        <family val="2"/>
      </rPr>
      <t xml:space="preserve">）</t>
    </r>
  </si>
  <si>
    <t xml:space="preserve">TR-0004</t>
  </si>
  <si>
    <t xml:space="preserve">TC-004</t>
  </si>
  <si>
    <t xml:space="preserve">ステータス管理</t>
  </si>
  <si>
    <r>
      <rPr>
        <sz val="9"/>
        <color rgb="FF000000"/>
        <rFont val="Meiryo"/>
        <family val="0"/>
        <charset val="1"/>
      </rPr>
      <t xml:space="preserve">UI</t>
    </r>
    <r>
      <rPr>
        <sz val="9"/>
        <color rgb="FF000000"/>
        <rFont val="Noto Sans CJK SC"/>
        <family val="2"/>
      </rPr>
      <t xml:space="preserve">制御：権限による非表示</t>
    </r>
  </si>
  <si>
    <r>
      <rPr>
        <sz val="9"/>
        <color rgb="FF000000"/>
        <rFont val="Noto Sans CJK SC"/>
        <family val="2"/>
      </rPr>
      <t xml:space="preserve">依頼者にステータス変更</t>
    </r>
    <r>
      <rPr>
        <sz val="9"/>
        <color rgb="FF000000"/>
        <rFont val="Meiryo"/>
        <family val="0"/>
        <charset val="1"/>
      </rPr>
      <t xml:space="preserve">UI</t>
    </r>
    <r>
      <rPr>
        <sz val="9"/>
        <color rgb="FF000000"/>
        <rFont val="Noto Sans CJK SC"/>
        <family val="2"/>
      </rPr>
      <t xml:space="preserve">が表示されない</t>
    </r>
  </si>
  <si>
    <r>
      <rPr>
        <sz val="9"/>
        <color rgb="FF000000"/>
        <rFont val="Noto Sans CJK SC"/>
        <family val="2"/>
      </rPr>
      <t xml:space="preserve">依頼者でログイン済み</t>
    </r>
    <r>
      <rPr>
        <sz val="9"/>
        <color rgb="FF000000"/>
        <rFont val="Meiryo"/>
        <family val="0"/>
        <charset val="1"/>
      </rPr>
      <t xml:space="preserve">; </t>
    </r>
    <r>
      <rPr>
        <sz val="9"/>
        <color rgb="FF000000"/>
        <rFont val="Noto Sans CJK SC"/>
        <family val="2"/>
      </rPr>
      <t xml:space="preserve">自分のチケット詳細を表示中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チケット</t>
    </r>
    <r>
      <rPr>
        <sz val="9"/>
        <color rgb="FF000000"/>
        <rFont val="Meiryo"/>
        <family val="0"/>
        <charset val="1"/>
      </rPr>
      <t xml:space="preserve">:Ticket #1</t>
    </r>
  </si>
  <si>
    <t xml:space="preserve">チケット詳細を表示してステータス変更操作を探す</t>
  </si>
  <si>
    <t xml:space="preserve">ステータス変更の操作が表示されない または無効化されている</t>
  </si>
  <si>
    <t xml:space="preserve">RQ-026</t>
  </si>
  <si>
    <r>
      <rPr>
        <sz val="9"/>
        <color rgb="FF000000"/>
        <rFont val="Meiryo"/>
        <family val="0"/>
        <charset val="1"/>
      </rPr>
      <t xml:space="preserve">API-B</t>
    </r>
    <r>
      <rPr>
        <sz val="9"/>
        <color rgb="FF000000"/>
        <rFont val="Noto Sans CJK SC"/>
        <family val="2"/>
      </rPr>
      <t xml:space="preserve">（</t>
    </r>
    <r>
      <rPr>
        <sz val="9"/>
        <color rgb="FF000000"/>
        <rFont val="Meiryo"/>
        <family val="0"/>
        <charset val="1"/>
      </rPr>
      <t xml:space="preserve">role_constraints R6</t>
    </r>
    <r>
      <rPr>
        <sz val="9"/>
        <color rgb="FF000000"/>
        <rFont val="Noto Sans CJK SC"/>
        <family val="2"/>
      </rPr>
      <t xml:space="preserve">）</t>
    </r>
  </si>
  <si>
    <t xml:space="preserve">TR-0006</t>
  </si>
  <si>
    <t xml:space="preserve">TC-005</t>
  </si>
  <si>
    <r>
      <rPr>
        <sz val="9"/>
        <color rgb="FF000000"/>
        <rFont val="Noto Sans CJK SC"/>
        <family val="2"/>
      </rPr>
      <t xml:space="preserve">ビジネスルール：</t>
    </r>
    <r>
      <rPr>
        <sz val="9"/>
        <color rgb="FF000000"/>
        <rFont val="Meiryo"/>
        <family val="0"/>
        <charset val="1"/>
      </rPr>
      <t xml:space="preserve">API</t>
    </r>
    <r>
      <rPr>
        <sz val="9"/>
        <color rgb="FF000000"/>
        <rFont val="Noto Sans CJK SC"/>
        <family val="2"/>
      </rPr>
      <t xml:space="preserve">直接操作制限</t>
    </r>
  </si>
  <si>
    <t xml:space="preserve">依頼者が直接操作でステータス変更できない</t>
  </si>
  <si>
    <r>
      <rPr>
        <sz val="9"/>
        <color rgb="FF000000"/>
        <rFont val="Noto Sans CJK SC"/>
        <family val="2"/>
      </rPr>
      <t xml:space="preserve">依頼者でログイン済み</t>
    </r>
    <r>
      <rPr>
        <sz val="9"/>
        <color rgb="FF000000"/>
        <rFont val="Meiryo"/>
        <family val="0"/>
        <charset val="1"/>
      </rPr>
      <t xml:space="preserve">; </t>
    </r>
    <r>
      <rPr>
        <sz val="9"/>
        <color rgb="FF000000"/>
        <rFont val="Noto Sans CJK SC"/>
        <family val="2"/>
      </rPr>
      <t xml:space="preserve">直接操作の手段がある</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チケット</t>
    </r>
    <r>
      <rPr>
        <sz val="9"/>
        <color rgb="FF000000"/>
        <rFont val="Meiryo"/>
        <family val="0"/>
        <charset val="1"/>
      </rPr>
      <t xml:space="preserve">:Ticket #1</t>
    </r>
  </si>
  <si>
    <t xml:space="preserve">開発者ツール等でステータス更新リクエストを試行する</t>
  </si>
  <si>
    <t xml:space="preserve">権限エラーとなり更新されない</t>
  </si>
  <si>
    <t xml:space="preserve">TR-0007</t>
  </si>
  <si>
    <t xml:space="preserve">TC-006</t>
  </si>
  <si>
    <t xml:space="preserve">チケット詳細表示</t>
  </si>
  <si>
    <t xml:space="preserve">表示整合性：基本項目</t>
  </si>
  <si>
    <t xml:space="preserve">詳細画面の主要項目が表示される</t>
  </si>
  <si>
    <r>
      <rPr>
        <sz val="9"/>
        <color rgb="FF000000"/>
        <rFont val="Noto Sans CJK SC"/>
        <family val="2"/>
      </rPr>
      <t xml:space="preserve">担当者または管理者でログイン済み</t>
    </r>
    <r>
      <rPr>
        <sz val="9"/>
        <color rgb="FF000000"/>
        <rFont val="Meiryo"/>
        <family val="0"/>
        <charset val="1"/>
      </rPr>
      <t xml:space="preserve">; </t>
    </r>
    <r>
      <rPr>
        <sz val="9"/>
        <color rgb="FF000000"/>
        <rFont val="Noto Sans CJK SC"/>
        <family val="2"/>
      </rPr>
      <t xml:space="preserve">対象チケットが存在する</t>
    </r>
  </si>
  <si>
    <r>
      <rPr>
        <sz val="9"/>
        <color rgb="FF000000"/>
        <rFont val="Noto Sans CJK SC"/>
        <family val="2"/>
      </rPr>
      <t xml:space="preserve">詳細画面を開き、</t>
    </r>
    <r>
      <rPr>
        <sz val="9"/>
        <color rgb="FF000000"/>
        <rFont val="Meiryo"/>
        <family val="0"/>
        <charset val="1"/>
      </rPr>
      <t xml:space="preserve">title/body/status/due_date/assignee/attachment </t>
    </r>
    <r>
      <rPr>
        <sz val="9"/>
        <color rgb="FF000000"/>
        <rFont val="Noto Sans CJK SC"/>
        <family val="2"/>
      </rPr>
      <t xml:space="preserve">の表示を確認</t>
    </r>
  </si>
  <si>
    <r>
      <rPr>
        <sz val="9"/>
        <color rgb="FF000000"/>
        <rFont val="Noto Sans CJK SC"/>
        <family val="2"/>
      </rPr>
      <t xml:space="preserve">主要項目が表示される（未設定項目は空</t>
    </r>
    <r>
      <rPr>
        <sz val="9"/>
        <color rgb="FF000000"/>
        <rFont val="Meiryo"/>
        <family val="0"/>
        <charset val="1"/>
      </rPr>
      <t xml:space="preserve">/</t>
    </r>
    <r>
      <rPr>
        <sz val="9"/>
        <color rgb="FF000000"/>
        <rFont val="Noto Sans CJK SC"/>
        <family val="2"/>
      </rPr>
      <t xml:space="preserve">未設定表示でもよい）</t>
    </r>
  </si>
  <si>
    <t xml:space="preserve">P2</t>
  </si>
  <si>
    <t xml:space="preserve">RQ-020</t>
  </si>
  <si>
    <r>
      <rPr>
        <sz val="9"/>
        <color rgb="FF000000"/>
        <rFont val="Noto Sans CJK SC"/>
        <family val="2"/>
      </rPr>
      <t xml:space="preserve">手動専用（詳細表示</t>
    </r>
    <r>
      <rPr>
        <sz val="9"/>
        <color rgb="FF000000"/>
        <rFont val="Meiryo"/>
        <family val="0"/>
        <charset val="1"/>
      </rPr>
      <t xml:space="preserve">UX</t>
    </r>
    <r>
      <rPr>
        <sz val="9"/>
        <color rgb="FF000000"/>
        <rFont val="Noto Sans CJK SC"/>
        <family val="2"/>
      </rPr>
      <t xml:space="preserve">・全項目の画面表示）</t>
    </r>
  </si>
  <si>
    <t xml:space="preserve">2026/02/06</t>
  </si>
  <si>
    <t xml:space="preserve">TR-0008</t>
  </si>
  <si>
    <t xml:space="preserve">TC-007</t>
  </si>
  <si>
    <r>
      <rPr>
        <sz val="9"/>
        <color rgb="FF000000"/>
        <rFont val="Noto Sans CJK SC"/>
        <family val="2"/>
      </rPr>
      <t xml:space="preserve">認可：担当者権限 </t>
    </r>
    <r>
      <rPr>
        <sz val="9"/>
        <color rgb="FF000000"/>
        <rFont val="Meiryo"/>
        <family val="0"/>
        <charset val="1"/>
      </rPr>
      <t xml:space="preserve">(</t>
    </r>
    <r>
      <rPr>
        <sz val="9"/>
        <color rgb="FF000000"/>
        <rFont val="Noto Sans CJK SC"/>
        <family val="2"/>
      </rPr>
      <t xml:space="preserve">整合性</t>
    </r>
    <r>
      <rPr>
        <sz val="9"/>
        <color rgb="FF000000"/>
        <rFont val="Meiryo"/>
        <family val="0"/>
        <charset val="1"/>
      </rPr>
      <t xml:space="preserve">)</t>
    </r>
  </si>
  <si>
    <t xml:space="preserve">担当者は非担当チケットのステータス変更ができない</t>
  </si>
  <si>
    <r>
      <rPr>
        <sz val="9"/>
        <color rgb="FF000000"/>
        <rFont val="Noto Sans CJK SC"/>
        <family val="2"/>
      </rPr>
      <t xml:space="preserve">担当者でログイン済み</t>
    </r>
    <r>
      <rPr>
        <sz val="9"/>
        <color rgb="FF000000"/>
        <rFont val="Meiryo"/>
        <family val="0"/>
        <charset val="1"/>
      </rPr>
      <t xml:space="preserve">; </t>
    </r>
    <r>
      <rPr>
        <sz val="9"/>
        <color rgb="FF000000"/>
        <rFont val="Noto Sans CJK SC"/>
        <family val="2"/>
      </rPr>
      <t xml:space="preserve">非担当チケットが存在する </t>
    </r>
    <r>
      <rPr>
        <sz val="9"/>
        <color rgb="FF000000"/>
        <rFont val="Meiryo"/>
        <family val="0"/>
        <charset val="1"/>
      </rPr>
      <t xml:space="preserve">/ </t>
    </r>
    <r>
      <rPr>
        <sz val="9"/>
        <color rgb="FF000000"/>
        <rFont val="Noto Sans CJK SC"/>
        <family val="2"/>
      </rPr>
      <t xml:space="preserve">担当者</t>
    </r>
    <r>
      <rPr>
        <sz val="9"/>
        <color rgb="FF000000"/>
        <rFont val="Meiryo"/>
        <family val="0"/>
        <charset val="1"/>
      </rPr>
      <t xml:space="preserve">:agent2; </t>
    </r>
    <r>
      <rPr>
        <sz val="9"/>
        <color rgb="FF000000"/>
        <rFont val="Noto Sans CJK SC"/>
        <family val="2"/>
      </rPr>
      <t xml:space="preserve">チケット</t>
    </r>
    <r>
      <rPr>
        <sz val="9"/>
        <color rgb="FF000000"/>
        <rFont val="Meiryo"/>
        <family val="0"/>
        <charset val="1"/>
      </rPr>
      <t xml:space="preserve">:Ticket #2(</t>
    </r>
    <r>
      <rPr>
        <sz val="9"/>
        <color rgb="FF000000"/>
        <rFont val="Noto Sans CJK SC"/>
        <family val="2"/>
      </rPr>
      <t xml:space="preserve">割当者</t>
    </r>
    <r>
      <rPr>
        <sz val="9"/>
        <color rgb="FF000000"/>
        <rFont val="Meiryo"/>
        <family val="0"/>
        <charset val="1"/>
      </rPr>
      <t xml:space="preserve">=agent1)</t>
    </r>
  </si>
  <si>
    <t xml:space="preserve">開発者ツール等で非担当チケットでステータス変更を試行</t>
  </si>
  <si>
    <r>
      <rPr>
        <sz val="9"/>
        <color rgb="FF000000"/>
        <rFont val="Meiryo"/>
        <family val="0"/>
        <charset val="1"/>
      </rPr>
      <t xml:space="preserve">403</t>
    </r>
    <r>
      <rPr>
        <sz val="9"/>
        <color rgb="FF000000"/>
        <rFont val="Noto Sans CJK SC"/>
        <family val="2"/>
      </rPr>
      <t xml:space="preserve">等で拒否され、状態は変わらず履歴も追加されない</t>
    </r>
  </si>
  <si>
    <t xml:space="preserve">RQ-029</t>
  </si>
  <si>
    <r>
      <rPr>
        <sz val="9"/>
        <color rgb="FF000000"/>
        <rFont val="Meiryo"/>
        <family val="0"/>
        <charset val="1"/>
      </rPr>
      <t xml:space="preserve">Auto-04</t>
    </r>
    <r>
      <rPr>
        <sz val="9"/>
        <color rgb="FF000000"/>
        <rFont val="Noto Sans CJK SC"/>
        <family val="2"/>
      </rPr>
      <t xml:space="preserve">（</t>
    </r>
    <r>
      <rPr>
        <sz val="9"/>
        <color rgb="FF000000"/>
        <rFont val="Meiryo"/>
        <family val="0"/>
        <charset val="1"/>
      </rPr>
      <t xml:space="preserve">E2E</t>
    </r>
    <r>
      <rPr>
        <sz val="9"/>
        <color rgb="FF000000"/>
        <rFont val="Noto Sans CJK SC"/>
        <family val="2"/>
      </rPr>
      <t xml:space="preserve">）</t>
    </r>
    <r>
      <rPr>
        <sz val="9"/>
        <color rgb="FF000000"/>
        <rFont val="Meiryo"/>
        <family val="0"/>
        <charset val="1"/>
      </rPr>
      <t xml:space="preserve">/ API-B</t>
    </r>
    <r>
      <rPr>
        <sz val="9"/>
        <color rgb="FF000000"/>
        <rFont val="Noto Sans CJK SC"/>
        <family val="2"/>
      </rPr>
      <t xml:space="preserve">（</t>
    </r>
    <r>
      <rPr>
        <sz val="9"/>
        <color rgb="FF000000"/>
        <rFont val="Meiryo"/>
        <family val="0"/>
        <charset val="1"/>
      </rPr>
      <t xml:space="preserve">role_constraints R4</t>
    </r>
    <r>
      <rPr>
        <sz val="9"/>
        <color rgb="FF000000"/>
        <rFont val="Noto Sans CJK SC"/>
        <family val="2"/>
      </rPr>
      <t xml:space="preserve">）</t>
    </r>
  </si>
  <si>
    <t xml:space="preserve">2026/02/07</t>
  </si>
  <si>
    <t xml:space="preserve">TR-0009</t>
  </si>
  <si>
    <t xml:space="preserve">TC-008</t>
  </si>
  <si>
    <t xml:space="preserve">認可：未割当状態の操作制限</t>
  </si>
  <si>
    <t xml:space="preserve">担当者が未割当チケットのステータス変更ができない</t>
  </si>
  <si>
    <r>
      <rPr>
        <sz val="9"/>
        <color rgb="FF000000"/>
        <rFont val="Noto Sans CJK SC"/>
        <family val="2"/>
      </rPr>
      <t xml:space="preserve">担当者でログイン済み</t>
    </r>
    <r>
      <rPr>
        <sz val="9"/>
        <color rgb="FF000000"/>
        <rFont val="Meiryo"/>
        <family val="0"/>
        <charset val="1"/>
      </rPr>
      <t xml:space="preserve">; </t>
    </r>
    <r>
      <rPr>
        <sz val="9"/>
        <color rgb="FF000000"/>
        <rFont val="Noto Sans CJK SC"/>
        <family val="2"/>
      </rPr>
      <t xml:space="preserve">未割当チケットが存在する </t>
    </r>
    <r>
      <rPr>
        <sz val="9"/>
        <color rgb="FF000000"/>
        <rFont val="Meiryo"/>
        <family val="0"/>
        <charset val="1"/>
      </rPr>
      <t xml:space="preserve">/ </t>
    </r>
    <r>
      <rPr>
        <sz val="9"/>
        <color rgb="FF000000"/>
        <rFont val="Noto Sans CJK SC"/>
        <family val="2"/>
      </rPr>
      <t xml:space="preserve">担当者</t>
    </r>
    <r>
      <rPr>
        <sz val="9"/>
        <color rgb="FF000000"/>
        <rFont val="Meiryo"/>
        <family val="0"/>
        <charset val="1"/>
      </rPr>
      <t xml:space="preserve">:agent1; </t>
    </r>
    <r>
      <rPr>
        <sz val="9"/>
        <color rgb="FF000000"/>
        <rFont val="Noto Sans CJK SC"/>
        <family val="2"/>
      </rPr>
      <t xml:space="preserve">チケット</t>
    </r>
    <r>
      <rPr>
        <sz val="9"/>
        <color rgb="FF000000"/>
        <rFont val="Meiryo"/>
        <family val="0"/>
        <charset val="1"/>
      </rPr>
      <t xml:space="preserve">:Ticket #1(</t>
    </r>
    <r>
      <rPr>
        <sz val="9"/>
        <color rgb="FF000000"/>
        <rFont val="Noto Sans CJK SC"/>
        <family val="2"/>
      </rPr>
      <t xml:space="preserve">未割当</t>
    </r>
    <r>
      <rPr>
        <sz val="9"/>
        <color rgb="FF000000"/>
        <rFont val="Meiryo"/>
        <family val="0"/>
        <charset val="1"/>
      </rPr>
      <t xml:space="preserve">)</t>
    </r>
  </si>
  <si>
    <t xml:space="preserve">開発者ツール等で未割当チケットでステータス変更を試行</t>
  </si>
  <si>
    <t xml:space="preserve">RQ-034</t>
  </si>
  <si>
    <r>
      <rPr>
        <sz val="9"/>
        <color rgb="FF000000"/>
        <rFont val="Meiryo"/>
        <family val="0"/>
        <charset val="1"/>
      </rPr>
      <t xml:space="preserve">API-B</t>
    </r>
    <r>
      <rPr>
        <sz val="9"/>
        <color rgb="FF000000"/>
        <rFont val="Noto Sans CJK SC"/>
        <family val="2"/>
      </rPr>
      <t xml:space="preserve">（</t>
    </r>
    <r>
      <rPr>
        <sz val="9"/>
        <color rgb="FF000000"/>
        <rFont val="Meiryo"/>
        <family val="0"/>
        <charset val="1"/>
      </rPr>
      <t xml:space="preserve">role_constraints R5</t>
    </r>
    <r>
      <rPr>
        <sz val="9"/>
        <color rgb="FF000000"/>
        <rFont val="Noto Sans CJK SC"/>
        <family val="2"/>
      </rPr>
      <t xml:space="preserve">）</t>
    </r>
  </si>
  <si>
    <t xml:space="preserve">TR-0010</t>
  </si>
  <si>
    <t xml:space="preserve">TC-009</t>
  </si>
  <si>
    <t xml:space="preserve">担当者割当機能</t>
  </si>
  <si>
    <r>
      <rPr>
        <sz val="9"/>
        <color rgb="FF000000"/>
        <rFont val="Noto Sans CJK SC"/>
        <family val="2"/>
      </rPr>
      <t xml:space="preserve">認可：管理者権限 </t>
    </r>
    <r>
      <rPr>
        <sz val="9"/>
        <color rgb="FF000000"/>
        <rFont val="Meiryo"/>
        <family val="0"/>
        <charset val="1"/>
      </rPr>
      <t xml:space="preserve">(RBAC)</t>
    </r>
  </si>
  <si>
    <t xml:space="preserve">管理者が担当割当を実行できる</t>
  </si>
  <si>
    <r>
      <rPr>
        <sz val="9"/>
        <color rgb="FF000000"/>
        <rFont val="Noto Sans CJK SC"/>
        <family val="2"/>
      </rPr>
      <t xml:space="preserve">管理者でログイン済み</t>
    </r>
    <r>
      <rPr>
        <sz val="9"/>
        <color rgb="FF000000"/>
        <rFont val="Meiryo"/>
        <family val="0"/>
        <charset val="1"/>
      </rPr>
      <t xml:space="preserve">; </t>
    </r>
    <r>
      <rPr>
        <sz val="9"/>
        <color rgb="FF000000"/>
        <rFont val="Noto Sans CJK SC"/>
        <family val="2"/>
      </rPr>
      <t xml:space="preserve">未割当チケットが存在する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t>
    </r>
    <r>
      <rPr>
        <sz val="9"/>
        <color rgb="FF000000"/>
        <rFont val="Noto Sans CJK SC"/>
        <family val="2"/>
      </rPr>
      <t xml:space="preserve">未割当</t>
    </r>
    <r>
      <rPr>
        <sz val="9"/>
        <color rgb="FF000000"/>
        <rFont val="Meiryo"/>
        <family val="0"/>
        <charset val="1"/>
      </rPr>
      <t xml:space="preserve">)</t>
    </r>
  </si>
  <si>
    <r>
      <rPr>
        <sz val="9"/>
        <color rgb="FF000000"/>
        <rFont val="Noto Sans CJK SC"/>
        <family val="2"/>
      </rPr>
      <t xml:space="preserve">チケット詳細で</t>
    </r>
    <r>
      <rPr>
        <sz val="9"/>
        <color rgb="FF000000"/>
        <rFont val="Meiryo"/>
        <family val="0"/>
        <charset val="1"/>
      </rPr>
      <t xml:space="preserve">agent2</t>
    </r>
    <r>
      <rPr>
        <sz val="9"/>
        <color rgb="FF000000"/>
        <rFont val="Noto Sans CJK SC"/>
        <family val="2"/>
      </rPr>
      <t xml:space="preserve">に割り当てる</t>
    </r>
  </si>
  <si>
    <t xml:space="preserve">担当者が割り当てられ一覧や詳細に反映される</t>
  </si>
  <si>
    <t xml:space="preserve">RQ-007;RQ-033</t>
  </si>
  <si>
    <r>
      <rPr>
        <sz val="9"/>
        <color rgb="FF000000"/>
        <rFont val="Meiryo"/>
        <family val="0"/>
        <charset val="1"/>
      </rPr>
      <t xml:space="preserve">API-A</t>
    </r>
    <r>
      <rPr>
        <sz val="9"/>
        <color rgb="FF000000"/>
        <rFont val="Noto Sans CJK SC"/>
        <family val="2"/>
      </rPr>
      <t xml:space="preserve">（</t>
    </r>
    <r>
      <rPr>
        <sz val="9"/>
        <color rgb="FF000000"/>
        <rFont val="Meiryo"/>
        <family val="0"/>
        <charset val="1"/>
      </rPr>
      <t xml:space="preserve">assign_due_authorization</t>
    </r>
    <r>
      <rPr>
        <sz val="9"/>
        <color rgb="FF000000"/>
        <rFont val="Noto Sans CJK SC"/>
        <family val="2"/>
      </rPr>
      <t xml:space="preserve">）</t>
    </r>
  </si>
  <si>
    <t xml:space="preserve">TR-0011</t>
  </si>
  <si>
    <t xml:space="preserve">TC-010</t>
  </si>
  <si>
    <t xml:space="preserve">認可：実行権限制限</t>
  </si>
  <si>
    <t xml:space="preserve">管理者以外は担当割当を実行できない</t>
  </si>
  <si>
    <r>
      <rPr>
        <sz val="9"/>
        <color rgb="FF000000"/>
        <rFont val="Noto Sans CJK SC"/>
        <family val="2"/>
      </rPr>
      <t xml:space="preserve">担当者でログイン済み</t>
    </r>
    <r>
      <rPr>
        <sz val="9"/>
        <color rgb="FF000000"/>
        <rFont val="Meiryo"/>
        <family val="0"/>
        <charset val="1"/>
      </rPr>
      <t xml:space="preserve">; </t>
    </r>
    <r>
      <rPr>
        <sz val="9"/>
        <color rgb="FF000000"/>
        <rFont val="Noto Sans CJK SC"/>
        <family val="2"/>
      </rPr>
      <t xml:space="preserve">担当割当</t>
    </r>
    <r>
      <rPr>
        <sz val="9"/>
        <color rgb="FF000000"/>
        <rFont val="Meiryo"/>
        <family val="0"/>
        <charset val="1"/>
      </rPr>
      <t xml:space="preserve">UI</t>
    </r>
    <r>
      <rPr>
        <sz val="9"/>
        <color rgb="FF000000"/>
        <rFont val="Noto Sans CJK SC"/>
        <family val="2"/>
      </rPr>
      <t xml:space="preserve">または操作がある </t>
    </r>
    <r>
      <rPr>
        <sz val="9"/>
        <color rgb="FF000000"/>
        <rFont val="Meiryo"/>
        <family val="0"/>
        <charset val="1"/>
      </rPr>
      <t xml:space="preserve">/ </t>
    </r>
    <r>
      <rPr>
        <sz val="9"/>
        <color rgb="FF000000"/>
        <rFont val="Noto Sans CJK SC"/>
        <family val="2"/>
      </rPr>
      <t xml:space="preserve">担当者</t>
    </r>
    <r>
      <rPr>
        <sz val="9"/>
        <color rgb="FF000000"/>
        <rFont val="Meiryo"/>
        <family val="0"/>
        <charset val="1"/>
      </rPr>
      <t xml:space="preserve">:agent1; </t>
    </r>
    <r>
      <rPr>
        <sz val="9"/>
        <color rgb="FF000000"/>
        <rFont val="Noto Sans CJK SC"/>
        <family val="2"/>
      </rPr>
      <t xml:space="preserve">チケット</t>
    </r>
    <r>
      <rPr>
        <sz val="9"/>
        <color rgb="FF000000"/>
        <rFont val="Meiryo"/>
        <family val="0"/>
        <charset val="1"/>
      </rPr>
      <t xml:space="preserve">:Ticket #1</t>
    </r>
  </si>
  <si>
    <t xml:space="preserve">担当割当を試行する</t>
  </si>
  <si>
    <t xml:space="preserve">担当割当ができない 表示されない または権限エラーとなる</t>
  </si>
  <si>
    <t xml:space="preserve">RQ-030</t>
  </si>
  <si>
    <t xml:space="preserve">2026/02/08</t>
  </si>
  <si>
    <t xml:space="preserve">TR-0012</t>
  </si>
  <si>
    <t xml:space="preserve">TC-011</t>
  </si>
  <si>
    <t xml:space="preserve">チケット一覧画面</t>
  </si>
  <si>
    <t xml:space="preserve">チケット一覧表示</t>
  </si>
  <si>
    <r>
      <rPr>
        <sz val="9"/>
        <color rgb="FF000000"/>
        <rFont val="Noto Sans CJK SC"/>
        <family val="2"/>
      </rPr>
      <t xml:space="preserve">認可：参照スコープ </t>
    </r>
    <r>
      <rPr>
        <sz val="9"/>
        <color rgb="FF000000"/>
        <rFont val="Meiryo"/>
        <family val="0"/>
        <charset val="1"/>
      </rPr>
      <t xml:space="preserve">(</t>
    </r>
    <r>
      <rPr>
        <sz val="9"/>
        <color rgb="FF000000"/>
        <rFont val="Noto Sans CJK SC"/>
        <family val="2"/>
      </rPr>
      <t xml:space="preserve">担当者</t>
    </r>
    <r>
      <rPr>
        <sz val="9"/>
        <color rgb="FF000000"/>
        <rFont val="Meiryo"/>
        <family val="0"/>
        <charset val="1"/>
      </rPr>
      <t xml:space="preserve">)</t>
    </r>
  </si>
  <si>
    <t xml:space="preserve">担当者が担当しているすべてのチケットを参照できる</t>
  </si>
  <si>
    <r>
      <rPr>
        <sz val="9"/>
        <color rgb="FF000000"/>
        <rFont val="Noto Sans CJK SC"/>
        <family val="2"/>
      </rPr>
      <t xml:space="preserve">担当者でログイン済み</t>
    </r>
    <r>
      <rPr>
        <sz val="9"/>
        <color rgb="FF000000"/>
        <rFont val="Meiryo"/>
        <family val="0"/>
        <charset val="1"/>
      </rPr>
      <t xml:space="preserve">; </t>
    </r>
    <r>
      <rPr>
        <sz val="9"/>
        <color rgb="FF000000"/>
        <rFont val="Noto Sans CJK SC"/>
        <family val="2"/>
      </rPr>
      <t xml:space="preserve">複数ユーザのチケットが存在する </t>
    </r>
    <r>
      <rPr>
        <sz val="9"/>
        <color rgb="FF000000"/>
        <rFont val="Meiryo"/>
        <family val="0"/>
        <charset val="1"/>
      </rPr>
      <t xml:space="preserve">/ </t>
    </r>
    <r>
      <rPr>
        <sz val="9"/>
        <color rgb="FF000000"/>
        <rFont val="Noto Sans CJK SC"/>
        <family val="2"/>
      </rPr>
      <t xml:space="preserve">担当者</t>
    </r>
    <r>
      <rPr>
        <sz val="9"/>
        <color rgb="FF000000"/>
        <rFont val="Meiryo"/>
        <family val="0"/>
        <charset val="1"/>
      </rPr>
      <t xml:space="preserve">:agent1</t>
    </r>
  </si>
  <si>
    <t xml:space="preserve">一覧で他人のチケットを開く</t>
  </si>
  <si>
    <t xml:space="preserve">詳細画面が表示され参照できる</t>
  </si>
  <si>
    <t xml:space="preserve">RQ-016</t>
  </si>
  <si>
    <r>
      <rPr>
        <sz val="9"/>
        <color rgb="FF000000"/>
        <rFont val="Meiryo"/>
        <family val="0"/>
        <charset val="1"/>
      </rPr>
      <t xml:space="preserve">API-A</t>
    </r>
    <r>
      <rPr>
        <sz val="9"/>
        <color rgb="FF000000"/>
        <rFont val="Noto Sans CJK SC"/>
        <family val="2"/>
      </rPr>
      <t xml:space="preserve">（</t>
    </r>
    <r>
      <rPr>
        <sz val="9"/>
        <color rgb="FF000000"/>
        <rFont val="Meiryo"/>
        <family val="0"/>
        <charset val="1"/>
      </rPr>
      <t xml:space="preserve">view_authorization</t>
    </r>
    <r>
      <rPr>
        <sz val="9"/>
        <color rgb="FF000000"/>
        <rFont val="Noto Sans CJK SC"/>
        <family val="2"/>
      </rPr>
      <t xml:space="preserve">）</t>
    </r>
  </si>
  <si>
    <t xml:space="preserve">TR-0013</t>
  </si>
  <si>
    <t xml:space="preserve">TC-012</t>
  </si>
  <si>
    <r>
      <rPr>
        <sz val="9"/>
        <color rgb="FF000000"/>
        <rFont val="Noto Sans CJK SC"/>
        <family val="2"/>
      </rPr>
      <t xml:space="preserve">認可：参照スコープ </t>
    </r>
    <r>
      <rPr>
        <sz val="9"/>
        <color rgb="FF000000"/>
        <rFont val="Meiryo"/>
        <family val="0"/>
        <charset val="1"/>
      </rPr>
      <t xml:space="preserve">(</t>
    </r>
    <r>
      <rPr>
        <sz val="9"/>
        <color rgb="FF000000"/>
        <rFont val="Noto Sans CJK SC"/>
        <family val="2"/>
      </rPr>
      <t xml:space="preserve">依頼者</t>
    </r>
    <r>
      <rPr>
        <sz val="9"/>
        <color rgb="FF000000"/>
        <rFont val="Meiryo"/>
        <family val="0"/>
        <charset val="1"/>
      </rPr>
      <t xml:space="preserve">)</t>
    </r>
  </si>
  <si>
    <t xml:space="preserve">依頼者の一覧には自分のチケットのみ表示される</t>
  </si>
  <si>
    <r>
      <rPr>
        <sz val="9"/>
        <color rgb="FF000000"/>
        <rFont val="Noto Sans CJK SC"/>
        <family val="2"/>
      </rPr>
      <t xml:space="preserve">依頼者でログイン済み</t>
    </r>
    <r>
      <rPr>
        <sz val="9"/>
        <color rgb="FF000000"/>
        <rFont val="Meiryo"/>
        <family val="0"/>
        <charset val="1"/>
      </rPr>
      <t xml:space="preserve">; </t>
    </r>
    <r>
      <rPr>
        <sz val="9"/>
        <color rgb="FF000000"/>
        <rFont val="Noto Sans CJK SC"/>
        <family val="2"/>
      </rPr>
      <t xml:space="preserve">自分と他人のチケットが存在する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t>
    </r>
  </si>
  <si>
    <t xml:space="preserve">一覧を表示する</t>
  </si>
  <si>
    <t xml:space="preserve">自分のチケットのみ表示され他人のチケットは表示されない</t>
  </si>
  <si>
    <t xml:space="preserve">2026/02/09</t>
  </si>
  <si>
    <t xml:space="preserve">TR-0014</t>
  </si>
  <si>
    <t xml:space="preserve">TC-013</t>
  </si>
  <si>
    <r>
      <rPr>
        <sz val="9"/>
        <color rgb="FF000000"/>
        <rFont val="Noto Sans CJK SC"/>
        <family val="2"/>
      </rPr>
      <t xml:space="preserve">認可：参照スコープ </t>
    </r>
    <r>
      <rPr>
        <sz val="9"/>
        <color rgb="FF000000"/>
        <rFont val="Meiryo"/>
        <family val="0"/>
        <charset val="1"/>
      </rPr>
      <t xml:space="preserve">(</t>
    </r>
    <r>
      <rPr>
        <sz val="9"/>
        <color rgb="FF000000"/>
        <rFont val="Noto Sans CJK SC"/>
        <family val="2"/>
      </rPr>
      <t xml:space="preserve">管理者</t>
    </r>
    <r>
      <rPr>
        <sz val="9"/>
        <color rgb="FF000000"/>
        <rFont val="Meiryo"/>
        <family val="0"/>
        <charset val="1"/>
      </rPr>
      <t xml:space="preserve">)</t>
    </r>
  </si>
  <si>
    <t xml:space="preserve">管理者は全チケットを閲覧できる</t>
  </si>
  <si>
    <r>
      <rPr>
        <sz val="9"/>
        <color rgb="FF000000"/>
        <rFont val="Noto Sans CJK SC"/>
        <family val="2"/>
      </rPr>
      <t xml:space="preserve">管理者でログイン済み</t>
    </r>
    <r>
      <rPr>
        <sz val="9"/>
        <color rgb="FF000000"/>
        <rFont val="Meiryo"/>
        <family val="0"/>
        <charset val="1"/>
      </rPr>
      <t xml:space="preserve">;</t>
    </r>
  </si>
  <si>
    <t xml:space="preserve">RQ-017</t>
  </si>
  <si>
    <t xml:space="preserve">TR-0015</t>
  </si>
  <si>
    <t xml:space="preserve">TC-014</t>
  </si>
  <si>
    <t xml:space="preserve">コメント投稿</t>
  </si>
  <si>
    <t xml:space="preserve">依頼者は他人チケットに直接操作でもコメント追加できない</t>
  </si>
  <si>
    <r>
      <rPr>
        <sz val="9"/>
        <color rgb="FF000000"/>
        <rFont val="Noto Sans CJK SC"/>
        <family val="2"/>
      </rPr>
      <t xml:space="preserve">依頼者でログイン済み</t>
    </r>
    <r>
      <rPr>
        <sz val="9"/>
        <color rgb="FF000000"/>
        <rFont val="Meiryo"/>
        <family val="0"/>
        <charset val="1"/>
      </rPr>
      <t xml:space="preserve">; </t>
    </r>
    <r>
      <rPr>
        <sz val="9"/>
        <color rgb="FF000000"/>
        <rFont val="Noto Sans CJK SC"/>
        <family val="2"/>
      </rPr>
      <t xml:space="preserve">他人チケットが存在する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他人チケット</t>
    </r>
    <r>
      <rPr>
        <sz val="9"/>
        <color rgb="FF000000"/>
        <rFont val="Meiryo"/>
        <family val="0"/>
        <charset val="1"/>
      </rPr>
      <t xml:space="preserve">:Ticket #2(</t>
    </r>
    <r>
      <rPr>
        <sz val="9"/>
        <color rgb="FF000000"/>
        <rFont val="Noto Sans CJK SC"/>
        <family val="2"/>
      </rPr>
      <t xml:space="preserve">所有者</t>
    </r>
    <r>
      <rPr>
        <sz val="9"/>
        <color rgb="FF000000"/>
        <rFont val="Meiryo"/>
        <family val="0"/>
        <charset val="1"/>
      </rPr>
      <t xml:space="preserve">=requester2)</t>
    </r>
  </si>
  <si>
    <t xml:space="preserve">他人チケットへ開発者ツール等でコメント追加を試行</t>
  </si>
  <si>
    <r>
      <rPr>
        <sz val="9"/>
        <color rgb="FF000000"/>
        <rFont val="Meiryo"/>
        <family val="0"/>
        <charset val="1"/>
      </rPr>
      <t xml:space="preserve">403</t>
    </r>
    <r>
      <rPr>
        <sz val="9"/>
        <color rgb="FF000000"/>
        <rFont val="Noto Sans CJK SC"/>
        <family val="2"/>
      </rPr>
      <t xml:space="preserve">等で拒否されコメントが追加されない</t>
    </r>
  </si>
  <si>
    <t xml:space="preserve">RQ-022</t>
  </si>
  <si>
    <r>
      <rPr>
        <sz val="9"/>
        <color rgb="FF000000"/>
        <rFont val="Noto Sans CJK SC"/>
        <family val="2"/>
      </rPr>
      <t xml:space="preserve">手動専用（コメント認可・</t>
    </r>
    <r>
      <rPr>
        <sz val="9"/>
        <color rgb="FF000000"/>
        <rFont val="Meiryo"/>
        <family val="0"/>
        <charset val="1"/>
      </rPr>
      <t xml:space="preserve">runn</t>
    </r>
    <r>
      <rPr>
        <sz val="9"/>
        <color rgb="FF000000"/>
        <rFont val="Noto Sans CJK SC"/>
        <family val="2"/>
      </rPr>
      <t xml:space="preserve">未整備）</t>
    </r>
  </si>
  <si>
    <t xml:space="preserve">TR-0016</t>
  </si>
  <si>
    <t xml:space="preserve">TC-015</t>
  </si>
  <si>
    <t xml:space="preserve">コメント閲覧</t>
  </si>
  <si>
    <t xml:space="preserve">表示更新：データ反映</t>
  </si>
  <si>
    <t xml:space="preserve">コメントを追加すると詳細画面に表示される</t>
  </si>
  <si>
    <r>
      <rPr>
        <sz val="9"/>
        <color rgb="FF000000"/>
        <rFont val="Noto Sans CJK SC"/>
        <family val="2"/>
      </rPr>
      <t xml:space="preserve">依頼者または担当者または管理者でログイン済み</t>
    </r>
    <r>
      <rPr>
        <sz val="9"/>
        <color rgb="FF000000"/>
        <rFont val="Meiryo"/>
        <family val="0"/>
        <charset val="1"/>
      </rPr>
      <t xml:space="preserve">; </t>
    </r>
    <r>
      <rPr>
        <sz val="9"/>
        <color rgb="FF000000"/>
        <rFont val="Noto Sans CJK SC"/>
        <family val="2"/>
      </rPr>
      <t xml:space="preserve">対象チケットが存在する</t>
    </r>
    <r>
      <rPr>
        <sz val="9"/>
        <color rgb="FF000000"/>
        <rFont val="Meiryo"/>
        <family val="0"/>
        <charset val="1"/>
      </rPr>
      <t xml:space="preserve">; </t>
    </r>
    <r>
      <rPr>
        <sz val="9"/>
        <color rgb="FF000000"/>
        <rFont val="Noto Sans CJK SC"/>
        <family val="2"/>
      </rPr>
      <t xml:space="preserve">チケット</t>
    </r>
    <r>
      <rPr>
        <sz val="9"/>
        <color rgb="FF000000"/>
        <rFont val="Meiryo"/>
        <family val="0"/>
        <charset val="1"/>
      </rPr>
      <t xml:space="preserve">:Ticket #1</t>
    </r>
  </si>
  <si>
    <t xml:space="preserve">詳細でコメントを入力して送信</t>
  </si>
  <si>
    <t xml:space="preserve">コメントが表示され履歴に反映される</t>
  </si>
  <si>
    <t xml:space="preserve">RQ-021;RQ-023</t>
  </si>
  <si>
    <r>
      <rPr>
        <sz val="9"/>
        <color rgb="FF000000"/>
        <rFont val="Noto Sans CJK SC"/>
        <family val="2"/>
      </rPr>
      <t xml:space="preserve">手動専用（コメント追加</t>
    </r>
    <r>
      <rPr>
        <sz val="9"/>
        <color rgb="FF000000"/>
        <rFont val="Meiryo"/>
        <family val="0"/>
        <charset val="1"/>
      </rPr>
      <t xml:space="preserve">/</t>
    </r>
    <r>
      <rPr>
        <sz val="9"/>
        <color rgb="FF000000"/>
        <rFont val="Noto Sans CJK SC"/>
        <family val="2"/>
      </rPr>
      <t xml:space="preserve">表示・</t>
    </r>
    <r>
      <rPr>
        <sz val="9"/>
        <color rgb="FF000000"/>
        <rFont val="Meiryo"/>
        <family val="0"/>
        <charset val="1"/>
      </rPr>
      <t xml:space="preserve">runn</t>
    </r>
    <r>
      <rPr>
        <sz val="9"/>
        <color rgb="FF000000"/>
        <rFont val="Noto Sans CJK SC"/>
        <family val="2"/>
      </rPr>
      <t xml:space="preserve">未整備）</t>
    </r>
  </si>
  <si>
    <t xml:space="preserve">TR-0017</t>
  </si>
  <si>
    <t xml:space="preserve">TC-016</t>
  </si>
  <si>
    <t xml:space="preserve">チケット作成</t>
  </si>
  <si>
    <t xml:space="preserve">認可：ロール別実行制限</t>
  </si>
  <si>
    <t xml:space="preserve">担当者はチケットを作成できない</t>
  </si>
  <si>
    <r>
      <rPr>
        <sz val="9"/>
        <color rgb="FF000000"/>
        <rFont val="Noto Sans CJK SC"/>
        <family val="2"/>
      </rPr>
      <t xml:space="preserve">担当者でログイン済み </t>
    </r>
    <r>
      <rPr>
        <sz val="9"/>
        <color rgb="FF000000"/>
        <rFont val="Meiryo"/>
        <family val="0"/>
        <charset val="1"/>
      </rPr>
      <t xml:space="preserve">/ </t>
    </r>
    <r>
      <rPr>
        <sz val="9"/>
        <color rgb="FF000000"/>
        <rFont val="Noto Sans CJK SC"/>
        <family val="2"/>
      </rPr>
      <t xml:space="preserve">担当者</t>
    </r>
    <r>
      <rPr>
        <sz val="9"/>
        <color rgb="FF000000"/>
        <rFont val="Meiryo"/>
        <family val="0"/>
        <charset val="1"/>
      </rPr>
      <t xml:space="preserve">:agent1</t>
    </r>
  </si>
  <si>
    <r>
      <rPr>
        <sz val="9"/>
        <color rgb="FF000000"/>
        <rFont val="Noto Sans CJK SC"/>
        <family val="2"/>
      </rPr>
      <t xml:space="preserve">作成</t>
    </r>
    <r>
      <rPr>
        <sz val="9"/>
        <color rgb="FF000000"/>
        <rFont val="Meiryo"/>
        <family val="0"/>
        <charset val="1"/>
      </rPr>
      <t xml:space="preserve">UI</t>
    </r>
    <r>
      <rPr>
        <sz val="9"/>
        <color rgb="FF000000"/>
        <rFont val="Noto Sans CJK SC"/>
        <family val="2"/>
      </rPr>
      <t xml:space="preserve">が表示されない、または作成が拒否される</t>
    </r>
  </si>
  <si>
    <t xml:space="preserve">RQ-013</t>
  </si>
  <si>
    <r>
      <rPr>
        <sz val="9"/>
        <color rgb="FF000000"/>
        <rFont val="Meiryo"/>
        <family val="0"/>
        <charset val="1"/>
      </rPr>
      <t xml:space="preserve">API-A</t>
    </r>
    <r>
      <rPr>
        <sz val="9"/>
        <color rgb="FF000000"/>
        <rFont val="Noto Sans CJK SC"/>
        <family val="2"/>
      </rPr>
      <t xml:space="preserve">（</t>
    </r>
    <r>
      <rPr>
        <sz val="9"/>
        <color rgb="FF000000"/>
        <rFont val="Meiryo"/>
        <family val="0"/>
        <charset val="1"/>
      </rPr>
      <t xml:space="preserve">create_authorization</t>
    </r>
    <r>
      <rPr>
        <sz val="9"/>
        <color rgb="FF000000"/>
        <rFont val="Noto Sans CJK SC"/>
        <family val="2"/>
      </rPr>
      <t xml:space="preserve">）</t>
    </r>
  </si>
  <si>
    <t xml:space="preserve">2026/02/11</t>
  </si>
  <si>
    <t xml:space="preserve">TR-0018</t>
  </si>
  <si>
    <t xml:space="preserve">TC-017</t>
  </si>
  <si>
    <t xml:space="preserve">担当者は直接操作でもチケットを作成できない</t>
  </si>
  <si>
    <t xml:space="preserve">開発者ツール等でチケットをを作成しようとする</t>
  </si>
  <si>
    <r>
      <rPr>
        <sz val="9"/>
        <color rgb="FF000000"/>
        <rFont val="Meiryo"/>
        <family val="0"/>
        <charset val="1"/>
      </rPr>
      <t xml:space="preserve">403</t>
    </r>
    <r>
      <rPr>
        <sz val="9"/>
        <color rgb="FF000000"/>
        <rFont val="Noto Sans CJK SC"/>
        <family val="2"/>
      </rPr>
      <t xml:space="preserve">等で拒否されチケットが作成されない</t>
    </r>
  </si>
  <si>
    <t xml:space="preserve">TR-0019</t>
  </si>
  <si>
    <t xml:space="preserve">TC-018</t>
  </si>
  <si>
    <t xml:space="preserve">監査ログ</t>
  </si>
  <si>
    <t xml:space="preserve">表示整合性：操作証跡</t>
  </si>
  <si>
    <t xml:space="preserve">監査ログが表示され、操作種別が識別できる</t>
  </si>
  <si>
    <r>
      <rPr>
        <sz val="9"/>
        <color rgb="FF000000"/>
        <rFont val="Noto Sans CJK SC"/>
        <family val="2"/>
      </rPr>
      <t xml:space="preserve">依頼者でログイン済み</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t>
    </r>
  </si>
  <si>
    <r>
      <rPr>
        <sz val="9"/>
        <color rgb="FF000000"/>
        <rFont val="Meiryo"/>
        <family val="0"/>
        <charset val="1"/>
      </rPr>
      <t xml:space="preserve">(1) requester1</t>
    </r>
    <r>
      <rPr>
        <sz val="9"/>
        <color rgb="FF000000"/>
        <rFont val="Noto Sans CJK SC"/>
        <family val="2"/>
      </rPr>
      <t xml:space="preserve">でチケット作成 </t>
    </r>
    <r>
      <rPr>
        <sz val="9"/>
        <color rgb="FF000000"/>
        <rFont val="Meiryo"/>
        <family val="0"/>
        <charset val="1"/>
      </rPr>
      <t xml:space="preserve">(2) admin1</t>
    </r>
    <r>
      <rPr>
        <sz val="9"/>
        <color rgb="FF000000"/>
        <rFont val="Noto Sans CJK SC"/>
        <family val="2"/>
      </rPr>
      <t xml:space="preserve">で</t>
    </r>
    <r>
      <rPr>
        <sz val="9"/>
        <color rgb="FF000000"/>
        <rFont val="Meiryo"/>
        <family val="0"/>
        <charset val="1"/>
      </rPr>
      <t xml:space="preserve">agent1</t>
    </r>
    <r>
      <rPr>
        <sz val="9"/>
        <color rgb="FF000000"/>
        <rFont val="Noto Sans CJK SC"/>
        <family val="2"/>
      </rPr>
      <t xml:space="preserve">へ担当割当 </t>
    </r>
    <r>
      <rPr>
        <sz val="9"/>
        <color rgb="FF000000"/>
        <rFont val="Meiryo"/>
        <family val="0"/>
        <charset val="1"/>
      </rPr>
      <t xml:space="preserve">(3) agent1</t>
    </r>
    <r>
      <rPr>
        <sz val="9"/>
        <color rgb="FF000000"/>
        <rFont val="Noto Sans CJK SC"/>
        <family val="2"/>
      </rPr>
      <t xml:space="preserve">でステータス変更 </t>
    </r>
    <r>
      <rPr>
        <sz val="9"/>
        <color rgb="FF000000"/>
        <rFont val="Meiryo"/>
        <family val="0"/>
        <charset val="1"/>
      </rPr>
      <t xml:space="preserve">(4) agent1</t>
    </r>
    <r>
      <rPr>
        <sz val="9"/>
        <color rgb="FF000000"/>
        <rFont val="Noto Sans CJK SC"/>
        <family val="2"/>
      </rPr>
      <t xml:space="preserve">でコメント追加 </t>
    </r>
    <r>
      <rPr>
        <sz val="9"/>
        <color rgb="FF000000"/>
        <rFont val="Meiryo"/>
        <family val="0"/>
        <charset val="1"/>
      </rPr>
      <t xml:space="preserve">(5) </t>
    </r>
    <r>
      <rPr>
        <sz val="9"/>
        <color rgb="FF000000"/>
        <rFont val="Noto Sans CJK SC"/>
        <family val="2"/>
      </rPr>
      <t xml:space="preserve">詳細の履歴一覧を確認</t>
    </r>
  </si>
  <si>
    <r>
      <rPr>
        <sz val="9"/>
        <color rgb="FF000000"/>
        <rFont val="Noto Sans CJK SC"/>
        <family val="2"/>
      </rPr>
      <t xml:space="preserve">履歴一覧が表示され、</t>
    </r>
    <r>
      <rPr>
        <sz val="9"/>
        <color rgb="FF000000"/>
        <rFont val="Meiryo"/>
        <family val="0"/>
        <charset val="1"/>
      </rPr>
      <t xml:space="preserve">CREATED/ASSIGNED/STATUS_CHANGED/COMMENT_ADDED </t>
    </r>
    <r>
      <rPr>
        <sz val="9"/>
        <color rgb="FF000000"/>
        <rFont val="Noto Sans CJK SC"/>
        <family val="2"/>
      </rPr>
      <t xml:space="preserve">等の操作種別と</t>
    </r>
    <r>
      <rPr>
        <sz val="9"/>
        <color rgb="FF000000"/>
        <rFont val="Meiryo"/>
        <family val="0"/>
        <charset val="1"/>
      </rPr>
      <t xml:space="preserve">actor</t>
    </r>
    <r>
      <rPr>
        <sz val="9"/>
        <color rgb="FF000000"/>
        <rFont val="Noto Sans CJK SC"/>
        <family val="2"/>
      </rPr>
      <t xml:space="preserve">が追跡できる</t>
    </r>
  </si>
  <si>
    <t xml:space="preserve">RQ-002;RQ-025;RQ-042</t>
  </si>
  <si>
    <r>
      <rPr>
        <sz val="9"/>
        <color rgb="FF000000"/>
        <rFont val="Noto Sans CJK SC"/>
        <family val="2"/>
      </rPr>
      <t xml:space="preserve">手動専用（監査ログ・</t>
    </r>
    <r>
      <rPr>
        <sz val="9"/>
        <color rgb="FF000000"/>
        <rFont val="Meiryo"/>
        <family val="0"/>
        <charset val="1"/>
      </rPr>
      <t xml:space="preserve">API</t>
    </r>
    <r>
      <rPr>
        <sz val="9"/>
        <color rgb="FF000000"/>
        <rFont val="Noto Sans CJK SC"/>
        <family val="2"/>
      </rPr>
      <t xml:space="preserve">未提供）</t>
    </r>
  </si>
  <si>
    <t xml:space="preserve">TR-0020</t>
  </si>
  <si>
    <t xml:space="preserve">TC-019</t>
  </si>
  <si>
    <t xml:space="preserve">ステータス遷移</t>
  </si>
  <si>
    <t xml:space="preserve">ワークフロー：遷移禁止ルール</t>
  </si>
  <si>
    <r>
      <rPr>
        <sz val="9"/>
        <color rgb="FF000000"/>
        <rFont val="Meiryo"/>
        <family val="0"/>
        <charset val="1"/>
      </rPr>
      <t xml:space="preserve">Open</t>
    </r>
    <r>
      <rPr>
        <sz val="9"/>
        <color rgb="FF000000"/>
        <rFont val="Noto Sans CJK SC"/>
        <family val="2"/>
      </rPr>
      <t xml:space="preserve">から</t>
    </r>
    <r>
      <rPr>
        <sz val="9"/>
        <color rgb="FF000000"/>
        <rFont val="Meiryo"/>
        <family val="0"/>
        <charset val="1"/>
      </rPr>
      <t xml:space="preserve">Resolved</t>
    </r>
    <r>
      <rPr>
        <sz val="9"/>
        <color rgb="FF000000"/>
        <rFont val="Noto Sans CJK SC"/>
        <family val="2"/>
      </rPr>
      <t xml:space="preserve">への禁止遷移は拒否される</t>
    </r>
  </si>
  <si>
    <r>
      <rPr>
        <sz val="9"/>
        <color rgb="FF000000"/>
        <rFont val="Noto Sans CJK SC"/>
        <family val="2"/>
      </rPr>
      <t xml:space="preserve">管理者でログイン済み</t>
    </r>
    <r>
      <rPr>
        <sz val="9"/>
        <color rgb="FF000000"/>
        <rFont val="Meiryo"/>
        <family val="0"/>
        <charset val="1"/>
      </rPr>
      <t xml:space="preserve">; Open</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#1(Open)</t>
    </r>
  </si>
  <si>
    <r>
      <rPr>
        <sz val="9"/>
        <color rgb="FF000000"/>
        <rFont val="Noto Sans CJK SC"/>
        <family val="2"/>
      </rPr>
      <t xml:space="preserve">ステータスを</t>
    </r>
    <r>
      <rPr>
        <sz val="9"/>
        <color rgb="FF000000"/>
        <rFont val="Meiryo"/>
        <family val="0"/>
        <charset val="1"/>
      </rPr>
      <t xml:space="preserve">Resolved</t>
    </r>
    <r>
      <rPr>
        <sz val="9"/>
        <color rgb="FF000000"/>
        <rFont val="Noto Sans CJK SC"/>
        <family val="2"/>
      </rPr>
      <t xml:space="preserve">に変更しようとする</t>
    </r>
  </si>
  <si>
    <r>
      <rPr>
        <sz val="9"/>
        <color rgb="FF000000"/>
        <rFont val="Noto Sans CJK SC"/>
        <family val="2"/>
      </rPr>
      <t xml:space="preserve">禁止遷移として拒否され状態は変わらない（</t>
    </r>
    <r>
      <rPr>
        <sz val="9"/>
        <color rgb="FF000000"/>
        <rFont val="Meiryo"/>
        <family val="0"/>
        <charset val="1"/>
      </rPr>
      <t xml:space="preserve">Open</t>
    </r>
    <r>
      <rPr>
        <sz val="9"/>
        <color rgb="FF000000"/>
        <rFont val="Noto Sans CJK SC"/>
        <family val="2"/>
      </rPr>
      <t xml:space="preserve">のまま） </t>
    </r>
    <r>
      <rPr>
        <sz val="9"/>
        <color rgb="FF000000"/>
        <rFont val="Meiryo"/>
        <family val="0"/>
        <charset val="1"/>
      </rPr>
      <t xml:space="preserve">UI</t>
    </r>
    <r>
      <rPr>
        <sz val="9"/>
        <color rgb="FF000000"/>
        <rFont val="Noto Sans CJK SC"/>
        <family val="2"/>
      </rPr>
      <t xml:space="preserve">で選べない、またはエラーが表示される</t>
    </r>
  </si>
  <si>
    <t xml:space="preserve">RQ-035</t>
  </si>
  <si>
    <r>
      <rPr>
        <sz val="9"/>
        <color rgb="FF000000"/>
        <rFont val="Meiryo"/>
        <family val="0"/>
        <charset val="1"/>
      </rPr>
      <t xml:space="preserve">API-B</t>
    </r>
    <r>
      <rPr>
        <sz val="9"/>
        <color rgb="FF000000"/>
        <rFont val="Noto Sans CJK SC"/>
        <family val="2"/>
      </rPr>
      <t xml:space="preserve">（</t>
    </r>
    <r>
      <rPr>
        <sz val="9"/>
        <color rgb="FF000000"/>
        <rFont val="Meiryo"/>
        <family val="0"/>
        <charset val="1"/>
      </rPr>
      <t xml:space="preserve">invalid_transitions</t>
    </r>
    <r>
      <rPr>
        <sz val="9"/>
        <color rgb="FF000000"/>
        <rFont val="Noto Sans CJK SC"/>
        <family val="2"/>
      </rPr>
      <t xml:space="preserve">）</t>
    </r>
  </si>
  <si>
    <t xml:space="preserve">TR-0021</t>
  </si>
  <si>
    <t xml:space="preserve">TC-020</t>
  </si>
  <si>
    <r>
      <rPr>
        <sz val="9"/>
        <color rgb="FF000000"/>
        <rFont val="Meiryo"/>
        <family val="0"/>
        <charset val="1"/>
      </rPr>
      <t xml:space="preserve">Open</t>
    </r>
    <r>
      <rPr>
        <sz val="9"/>
        <color rgb="FF000000"/>
        <rFont val="Noto Sans CJK SC"/>
        <family val="2"/>
      </rPr>
      <t xml:space="preserve">から</t>
    </r>
    <r>
      <rPr>
        <sz val="9"/>
        <color rgb="FF000000"/>
        <rFont val="Meiryo"/>
        <family val="0"/>
        <charset val="1"/>
      </rPr>
      <t xml:space="preserve">Closed</t>
    </r>
    <r>
      <rPr>
        <sz val="9"/>
        <color rgb="FF000000"/>
        <rFont val="Noto Sans CJK SC"/>
        <family val="2"/>
      </rPr>
      <t xml:space="preserve">への禁止遷移は拒否される</t>
    </r>
  </si>
  <si>
    <r>
      <rPr>
        <sz val="9"/>
        <color rgb="FF000000"/>
        <rFont val="Noto Sans CJK SC"/>
        <family val="2"/>
      </rPr>
      <t xml:space="preserve">ステータスを</t>
    </r>
    <r>
      <rPr>
        <sz val="9"/>
        <color rgb="FF000000"/>
        <rFont val="Meiryo"/>
        <family val="0"/>
        <charset val="1"/>
      </rPr>
      <t xml:space="preserve">Closed</t>
    </r>
    <r>
      <rPr>
        <sz val="9"/>
        <color rgb="FF000000"/>
        <rFont val="Noto Sans CJK SC"/>
        <family val="2"/>
      </rPr>
      <t xml:space="preserve">に変更しようとする</t>
    </r>
  </si>
  <si>
    <t xml:space="preserve">RQ-035;RQ-040</t>
  </si>
  <si>
    <t xml:space="preserve">TR-0022</t>
  </si>
  <si>
    <t xml:space="preserve">TC-021</t>
  </si>
  <si>
    <t xml:space="preserve">ワークフロー：遷移許可ルール</t>
  </si>
  <si>
    <r>
      <rPr>
        <sz val="9"/>
        <color rgb="FF000000"/>
        <rFont val="Meiryo"/>
        <family val="0"/>
        <charset val="1"/>
      </rPr>
      <t xml:space="preserve">Open</t>
    </r>
    <r>
      <rPr>
        <sz val="9"/>
        <color rgb="FF000000"/>
        <rFont val="Noto Sans CJK SC"/>
        <family val="2"/>
      </rPr>
      <t xml:space="preserve">から</t>
    </r>
    <r>
      <rPr>
        <sz val="9"/>
        <color rgb="FF000000"/>
        <rFont val="Meiryo"/>
        <family val="0"/>
        <charset val="1"/>
      </rPr>
      <t xml:space="preserve">In Progress</t>
    </r>
    <r>
      <rPr>
        <sz val="9"/>
        <color rgb="FF000000"/>
        <rFont val="Noto Sans CJK SC"/>
        <family val="2"/>
      </rPr>
      <t xml:space="preserve">へ変更できる</t>
    </r>
  </si>
  <si>
    <r>
      <rPr>
        <sz val="9"/>
        <color rgb="FF000000"/>
        <rFont val="Noto Sans CJK SC"/>
        <family val="2"/>
      </rPr>
      <t xml:space="preserve">管理者でログイン済み</t>
    </r>
    <r>
      <rPr>
        <sz val="9"/>
        <color rgb="FF000000"/>
        <rFont val="Meiryo"/>
        <family val="0"/>
        <charset val="1"/>
      </rPr>
      <t xml:space="preserve">; </t>
    </r>
    <r>
      <rPr>
        <sz val="9"/>
        <color rgb="FF000000"/>
        <rFont val="Noto Sans CJK SC"/>
        <family val="2"/>
      </rPr>
      <t xml:space="preserve">ステータスが</t>
    </r>
    <r>
      <rPr>
        <sz val="9"/>
        <color rgb="FF000000"/>
        <rFont val="Meiryo"/>
        <family val="0"/>
        <charset val="1"/>
      </rPr>
      <t xml:space="preserve">Open</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#1(Open)</t>
    </r>
  </si>
  <si>
    <r>
      <rPr>
        <sz val="9"/>
        <color rgb="FF000000"/>
        <rFont val="Noto Sans CJK SC"/>
        <family val="2"/>
      </rPr>
      <t xml:space="preserve">チケットのステータスを</t>
    </r>
    <r>
      <rPr>
        <sz val="9"/>
        <color rgb="FF000000"/>
        <rFont val="Meiryo"/>
        <family val="0"/>
        <charset val="1"/>
      </rPr>
      <t xml:space="preserve">In Progress</t>
    </r>
    <r>
      <rPr>
        <sz val="9"/>
        <color rgb="FF000000"/>
        <rFont val="Noto Sans CJK SC"/>
        <family val="2"/>
      </rPr>
      <t xml:space="preserve">に変更する</t>
    </r>
  </si>
  <si>
    <r>
      <rPr>
        <sz val="9"/>
        <color rgb="FF000000"/>
        <rFont val="Noto Sans CJK SC"/>
        <family val="2"/>
      </rPr>
      <t xml:space="preserve">ステータスが</t>
    </r>
    <r>
      <rPr>
        <sz val="9"/>
        <color rgb="FF000000"/>
        <rFont val="Meiryo"/>
        <family val="0"/>
        <charset val="1"/>
      </rPr>
      <t xml:space="preserve">In Progress</t>
    </r>
    <r>
      <rPr>
        <sz val="9"/>
        <color rgb="FF000000"/>
        <rFont val="Noto Sans CJK SC"/>
        <family val="2"/>
      </rPr>
      <t xml:space="preserve">に更新される</t>
    </r>
  </si>
  <si>
    <t xml:space="preserve">RQ-035;RQ-036</t>
  </si>
  <si>
    <r>
      <rPr>
        <sz val="9"/>
        <color rgb="FF000000"/>
        <rFont val="Meiryo"/>
        <family val="0"/>
        <charset val="1"/>
      </rPr>
      <t xml:space="preserve">API-B</t>
    </r>
    <r>
      <rPr>
        <sz val="9"/>
        <color rgb="FF000000"/>
        <rFont val="Noto Sans CJK SC"/>
        <family val="2"/>
      </rPr>
      <t xml:space="preserve">（</t>
    </r>
    <r>
      <rPr>
        <sz val="9"/>
        <color rgb="FF000000"/>
        <rFont val="Meiryo"/>
        <family val="0"/>
        <charset val="1"/>
      </rPr>
      <t xml:space="preserve">valid_edges</t>
    </r>
    <r>
      <rPr>
        <sz val="9"/>
        <color rgb="FF000000"/>
        <rFont val="Noto Sans CJK SC"/>
        <family val="2"/>
      </rPr>
      <t xml:space="preserve">）</t>
    </r>
  </si>
  <si>
    <t xml:space="preserve">TR-0023</t>
  </si>
  <si>
    <t xml:space="preserve">TC-022</t>
  </si>
  <si>
    <r>
      <rPr>
        <sz val="9"/>
        <color rgb="FF000000"/>
        <rFont val="Meiryo"/>
        <family val="0"/>
        <charset val="1"/>
      </rPr>
      <t xml:space="preserve">In Progress</t>
    </r>
    <r>
      <rPr>
        <sz val="9"/>
        <color rgb="FF000000"/>
        <rFont val="Noto Sans CJK SC"/>
        <family val="2"/>
      </rPr>
      <t xml:space="preserve">から</t>
    </r>
    <r>
      <rPr>
        <sz val="9"/>
        <color rgb="FF000000"/>
        <rFont val="Meiryo"/>
        <family val="0"/>
        <charset val="1"/>
      </rPr>
      <t xml:space="preserve">Pending</t>
    </r>
    <r>
      <rPr>
        <sz val="9"/>
        <color rgb="FF000000"/>
        <rFont val="Noto Sans CJK SC"/>
        <family val="2"/>
      </rPr>
      <t xml:space="preserve">へ変更できる</t>
    </r>
  </si>
  <si>
    <r>
      <rPr>
        <sz val="9"/>
        <color rgb="FF000000"/>
        <rFont val="Noto Sans CJK SC"/>
        <family val="2"/>
      </rPr>
      <t xml:space="preserve">管理者でログイン済み</t>
    </r>
    <r>
      <rPr>
        <sz val="9"/>
        <color rgb="FF000000"/>
        <rFont val="Meiryo"/>
        <family val="0"/>
        <charset val="1"/>
      </rPr>
      <t xml:space="preserve">; </t>
    </r>
    <r>
      <rPr>
        <sz val="9"/>
        <color rgb="FF000000"/>
        <rFont val="Noto Sans CJK SC"/>
        <family val="2"/>
      </rPr>
      <t xml:space="preserve">ステータスが</t>
    </r>
    <r>
      <rPr>
        <sz val="9"/>
        <color rgb="FF000000"/>
        <rFont val="Meiryo"/>
        <family val="0"/>
        <charset val="1"/>
      </rPr>
      <t xml:space="preserve">In Progress</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#1(In Progress)</t>
    </r>
  </si>
  <si>
    <r>
      <rPr>
        <sz val="9"/>
        <color rgb="FF000000"/>
        <rFont val="Noto Sans CJK SC"/>
        <family val="2"/>
      </rPr>
      <t xml:space="preserve">ステータスを</t>
    </r>
    <r>
      <rPr>
        <sz val="9"/>
        <color rgb="FF000000"/>
        <rFont val="Meiryo"/>
        <family val="0"/>
        <charset val="1"/>
      </rPr>
      <t xml:space="preserve">Pending</t>
    </r>
    <r>
      <rPr>
        <sz val="9"/>
        <color rgb="FF000000"/>
        <rFont val="Noto Sans CJK SC"/>
        <family val="2"/>
      </rPr>
      <t xml:space="preserve">に変更する</t>
    </r>
  </si>
  <si>
    <r>
      <rPr>
        <sz val="9"/>
        <color rgb="FF000000"/>
        <rFont val="Noto Sans CJK SC"/>
        <family val="2"/>
      </rPr>
      <t xml:space="preserve">ステータスが</t>
    </r>
    <r>
      <rPr>
        <sz val="9"/>
        <color rgb="FF000000"/>
        <rFont val="Meiryo"/>
        <family val="0"/>
        <charset val="1"/>
      </rPr>
      <t xml:space="preserve">Pending</t>
    </r>
    <r>
      <rPr>
        <sz val="9"/>
        <color rgb="FF000000"/>
        <rFont val="Noto Sans CJK SC"/>
        <family val="2"/>
      </rPr>
      <t xml:space="preserve">に更新される</t>
    </r>
  </si>
  <si>
    <t xml:space="preserve">RQ-035;RQ-037</t>
  </si>
  <si>
    <t xml:space="preserve">TR-0024</t>
  </si>
  <si>
    <t xml:space="preserve">TC-023</t>
  </si>
  <si>
    <r>
      <rPr>
        <sz val="9"/>
        <color rgb="FF000000"/>
        <rFont val="Meiryo"/>
        <family val="0"/>
        <charset val="1"/>
      </rPr>
      <t xml:space="preserve">Pending</t>
    </r>
    <r>
      <rPr>
        <sz val="9"/>
        <color rgb="FF000000"/>
        <rFont val="Noto Sans CJK SC"/>
        <family val="2"/>
      </rPr>
      <t xml:space="preserve">から</t>
    </r>
    <r>
      <rPr>
        <sz val="9"/>
        <color rgb="FF000000"/>
        <rFont val="Meiryo"/>
        <family val="0"/>
        <charset val="1"/>
      </rPr>
      <t xml:space="preserve">In Progress</t>
    </r>
    <r>
      <rPr>
        <sz val="9"/>
        <color rgb="FF000000"/>
        <rFont val="Noto Sans CJK SC"/>
        <family val="2"/>
      </rPr>
      <t xml:space="preserve">へ戻せる</t>
    </r>
  </si>
  <si>
    <r>
      <rPr>
        <sz val="9"/>
        <color rgb="FF000000"/>
        <rFont val="Noto Sans CJK SC"/>
        <family val="2"/>
      </rPr>
      <t xml:space="preserve">管理者でログイン済み</t>
    </r>
    <r>
      <rPr>
        <sz val="9"/>
        <color rgb="FF000000"/>
        <rFont val="Meiryo"/>
        <family val="0"/>
        <charset val="1"/>
      </rPr>
      <t xml:space="preserve">; </t>
    </r>
    <r>
      <rPr>
        <sz val="9"/>
        <color rgb="FF000000"/>
        <rFont val="Noto Sans CJK SC"/>
        <family val="2"/>
      </rPr>
      <t xml:space="preserve">ステータスが</t>
    </r>
    <r>
      <rPr>
        <sz val="9"/>
        <color rgb="FF000000"/>
        <rFont val="Meiryo"/>
        <family val="0"/>
        <charset val="1"/>
      </rPr>
      <t xml:space="preserve">Pending</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#1(Pending)</t>
    </r>
  </si>
  <si>
    <r>
      <rPr>
        <sz val="9"/>
        <color rgb="FF000000"/>
        <rFont val="Noto Sans CJK SC"/>
        <family val="2"/>
      </rPr>
      <t xml:space="preserve">ステータスを</t>
    </r>
    <r>
      <rPr>
        <sz val="9"/>
        <color rgb="FF000000"/>
        <rFont val="Meiryo"/>
        <family val="0"/>
        <charset val="1"/>
      </rPr>
      <t xml:space="preserve">In Progress</t>
    </r>
    <r>
      <rPr>
        <sz val="9"/>
        <color rgb="FF000000"/>
        <rFont val="Noto Sans CJK SC"/>
        <family val="2"/>
      </rPr>
      <t xml:space="preserve">に変更する</t>
    </r>
  </si>
  <si>
    <t xml:space="preserve">RQ-035;RQ-038</t>
  </si>
  <si>
    <t xml:space="preserve">TR-0025</t>
  </si>
  <si>
    <t xml:space="preserve">TC-024</t>
  </si>
  <si>
    <r>
      <rPr>
        <sz val="9"/>
        <color rgb="FF000000"/>
        <rFont val="Meiryo"/>
        <family val="0"/>
        <charset val="1"/>
      </rPr>
      <t xml:space="preserve">In Progress</t>
    </r>
    <r>
      <rPr>
        <sz val="9"/>
        <color rgb="FF000000"/>
        <rFont val="Noto Sans CJK SC"/>
        <family val="2"/>
      </rPr>
      <t xml:space="preserve">から</t>
    </r>
    <r>
      <rPr>
        <sz val="9"/>
        <color rgb="FF000000"/>
        <rFont val="Meiryo"/>
        <family val="0"/>
        <charset val="1"/>
      </rPr>
      <t xml:space="preserve">Open</t>
    </r>
    <r>
      <rPr>
        <sz val="9"/>
        <color rgb="FF000000"/>
        <rFont val="Noto Sans CJK SC"/>
        <family val="2"/>
      </rPr>
      <t xml:space="preserve">への禁止遷移は拒否される</t>
    </r>
  </si>
  <si>
    <r>
      <rPr>
        <sz val="9"/>
        <color rgb="FF000000"/>
        <rFont val="Noto Sans CJK SC"/>
        <family val="2"/>
      </rPr>
      <t xml:space="preserve">管理者でログイン済み</t>
    </r>
    <r>
      <rPr>
        <sz val="9"/>
        <color rgb="FF000000"/>
        <rFont val="Meiryo"/>
        <family val="0"/>
        <charset val="1"/>
      </rPr>
      <t xml:space="preserve">; In Progress</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#1(In Progress)</t>
    </r>
  </si>
  <si>
    <r>
      <rPr>
        <sz val="9"/>
        <color rgb="FF000000"/>
        <rFont val="Noto Sans CJK SC"/>
        <family val="2"/>
      </rPr>
      <t xml:space="preserve">ステータスを</t>
    </r>
    <r>
      <rPr>
        <sz val="9"/>
        <color rgb="FF000000"/>
        <rFont val="Meiryo"/>
        <family val="0"/>
        <charset val="1"/>
      </rPr>
      <t xml:space="preserve">Open</t>
    </r>
    <r>
      <rPr>
        <sz val="9"/>
        <color rgb="FF000000"/>
        <rFont val="Noto Sans CJK SC"/>
        <family val="2"/>
      </rPr>
      <t xml:space="preserve">に変更しようとする</t>
    </r>
  </si>
  <si>
    <r>
      <rPr>
        <sz val="9"/>
        <color rgb="FF000000"/>
        <rFont val="Noto Sans CJK SC"/>
        <family val="2"/>
      </rPr>
      <t xml:space="preserve">禁止遷移として拒否され状態は変わらない（</t>
    </r>
    <r>
      <rPr>
        <sz val="9"/>
        <color rgb="FF000000"/>
        <rFont val="Meiryo"/>
        <family val="0"/>
        <charset val="1"/>
      </rPr>
      <t xml:space="preserve">In Progress</t>
    </r>
    <r>
      <rPr>
        <sz val="9"/>
        <color rgb="FF000000"/>
        <rFont val="Noto Sans CJK SC"/>
        <family val="2"/>
      </rPr>
      <t xml:space="preserve">のまま） </t>
    </r>
    <r>
      <rPr>
        <sz val="9"/>
        <color rgb="FF000000"/>
        <rFont val="Meiryo"/>
        <family val="0"/>
        <charset val="1"/>
      </rPr>
      <t xml:space="preserve">UI</t>
    </r>
    <r>
      <rPr>
        <sz val="9"/>
        <color rgb="FF000000"/>
        <rFont val="Noto Sans CJK SC"/>
        <family val="2"/>
      </rPr>
      <t xml:space="preserve">で選べない、またはエラーが表示される</t>
    </r>
  </si>
  <si>
    <r>
      <rPr>
        <sz val="9"/>
        <color rgb="FF000000"/>
        <rFont val="Meiryo"/>
        <family val="0"/>
        <charset val="1"/>
      </rPr>
      <t xml:space="preserve">API-B</t>
    </r>
    <r>
      <rPr>
        <sz val="9"/>
        <color rgb="FF000000"/>
        <rFont val="Noto Sans CJK SC"/>
        <family val="2"/>
      </rPr>
      <t xml:space="preserve">（</t>
    </r>
    <r>
      <rPr>
        <sz val="9"/>
        <color rgb="FF000000"/>
        <rFont val="Meiryo"/>
        <family val="0"/>
        <charset val="1"/>
      </rPr>
      <t xml:space="preserve">invalid_transitions</t>
    </r>
    <r>
      <rPr>
        <sz val="9"/>
        <color rgb="FF000000"/>
        <rFont val="Noto Sans CJK SC"/>
        <family val="2"/>
      </rPr>
      <t xml:space="preserve">）※要確認（本エッジの個別ステップ無し）</t>
    </r>
  </si>
  <si>
    <t xml:space="preserve">TR-0026</t>
  </si>
  <si>
    <t xml:space="preserve">TC-025</t>
  </si>
  <si>
    <r>
      <rPr>
        <sz val="9"/>
        <color rgb="FF000000"/>
        <rFont val="Meiryo"/>
        <family val="0"/>
        <charset val="1"/>
      </rPr>
      <t xml:space="preserve">In Progress</t>
    </r>
    <r>
      <rPr>
        <sz val="9"/>
        <color rgb="FF000000"/>
        <rFont val="Noto Sans CJK SC"/>
        <family val="2"/>
      </rPr>
      <t xml:space="preserve">から</t>
    </r>
    <r>
      <rPr>
        <sz val="9"/>
        <color rgb="FF000000"/>
        <rFont val="Meiryo"/>
        <family val="0"/>
        <charset val="1"/>
      </rPr>
      <t xml:space="preserve">Resolved</t>
    </r>
    <r>
      <rPr>
        <sz val="9"/>
        <color rgb="FF000000"/>
        <rFont val="Noto Sans CJK SC"/>
        <family val="2"/>
      </rPr>
      <t xml:space="preserve">へ変更できる</t>
    </r>
  </si>
  <si>
    <r>
      <rPr>
        <sz val="9"/>
        <color rgb="FF000000"/>
        <rFont val="Noto Sans CJK SC"/>
        <family val="2"/>
      </rPr>
      <t xml:space="preserve">ステータスを</t>
    </r>
    <r>
      <rPr>
        <sz val="9"/>
        <color rgb="FF000000"/>
        <rFont val="Meiryo"/>
        <family val="0"/>
        <charset val="1"/>
      </rPr>
      <t xml:space="preserve">Resolved</t>
    </r>
    <r>
      <rPr>
        <sz val="9"/>
        <color rgb="FF000000"/>
        <rFont val="Noto Sans CJK SC"/>
        <family val="2"/>
      </rPr>
      <t xml:space="preserve">に変更する</t>
    </r>
  </si>
  <si>
    <r>
      <rPr>
        <sz val="9"/>
        <color rgb="FF000000"/>
        <rFont val="Noto Sans CJK SC"/>
        <family val="2"/>
      </rPr>
      <t xml:space="preserve">ステータスが</t>
    </r>
    <r>
      <rPr>
        <sz val="9"/>
        <color rgb="FF000000"/>
        <rFont val="Meiryo"/>
        <family val="0"/>
        <charset val="1"/>
      </rPr>
      <t xml:space="preserve">Resolved</t>
    </r>
    <r>
      <rPr>
        <sz val="9"/>
        <color rgb="FF000000"/>
        <rFont val="Noto Sans CJK SC"/>
        <family val="2"/>
      </rPr>
      <t xml:space="preserve">に更新される</t>
    </r>
  </si>
  <si>
    <t xml:space="preserve">TR-0027</t>
  </si>
  <si>
    <t xml:space="preserve">TC-026</t>
  </si>
  <si>
    <r>
      <rPr>
        <sz val="9"/>
        <color rgb="FF000000"/>
        <rFont val="Meiryo"/>
        <family val="0"/>
        <charset val="1"/>
      </rPr>
      <t xml:space="preserve">Resolved</t>
    </r>
    <r>
      <rPr>
        <sz val="9"/>
        <color rgb="FF000000"/>
        <rFont val="Noto Sans CJK SC"/>
        <family val="2"/>
      </rPr>
      <t xml:space="preserve">から</t>
    </r>
    <r>
      <rPr>
        <sz val="9"/>
        <color rgb="FF000000"/>
        <rFont val="Meiryo"/>
        <family val="0"/>
        <charset val="1"/>
      </rPr>
      <t xml:space="preserve">In Progress</t>
    </r>
    <r>
      <rPr>
        <sz val="9"/>
        <color rgb="FF000000"/>
        <rFont val="Noto Sans CJK SC"/>
        <family val="2"/>
      </rPr>
      <t xml:space="preserve">への禁止遷移は拒否される</t>
    </r>
  </si>
  <si>
    <r>
      <rPr>
        <sz val="9"/>
        <color rgb="FF000000"/>
        <rFont val="Noto Sans CJK SC"/>
        <family val="2"/>
      </rPr>
      <t xml:space="preserve">管理者でログイン済み</t>
    </r>
    <r>
      <rPr>
        <sz val="9"/>
        <color rgb="FF000000"/>
        <rFont val="Meiryo"/>
        <family val="0"/>
        <charset val="1"/>
      </rPr>
      <t xml:space="preserve">; Resolved</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#1(Resolved)</t>
    </r>
  </si>
  <si>
    <r>
      <rPr>
        <sz val="9"/>
        <color rgb="FF000000"/>
        <rFont val="Noto Sans CJK SC"/>
        <family val="2"/>
      </rPr>
      <t xml:space="preserve">ステータスを</t>
    </r>
    <r>
      <rPr>
        <sz val="9"/>
        <color rgb="FF000000"/>
        <rFont val="Meiryo"/>
        <family val="0"/>
        <charset val="1"/>
      </rPr>
      <t xml:space="preserve">In Progress</t>
    </r>
    <r>
      <rPr>
        <sz val="9"/>
        <color rgb="FF000000"/>
        <rFont val="Noto Sans CJK SC"/>
        <family val="2"/>
      </rPr>
      <t xml:space="preserve">に変更しようとする</t>
    </r>
  </si>
  <si>
    <r>
      <rPr>
        <sz val="9"/>
        <color rgb="FF000000"/>
        <rFont val="Noto Sans CJK SC"/>
        <family val="2"/>
      </rPr>
      <t xml:space="preserve">禁止遷移として拒否され状態は変わらない（</t>
    </r>
    <r>
      <rPr>
        <sz val="9"/>
        <color rgb="FF000000"/>
        <rFont val="Meiryo"/>
        <family val="0"/>
        <charset val="1"/>
      </rPr>
      <t xml:space="preserve">Resolved</t>
    </r>
    <r>
      <rPr>
        <sz val="9"/>
        <color rgb="FF000000"/>
        <rFont val="Noto Sans CJK SC"/>
        <family val="2"/>
      </rPr>
      <t xml:space="preserve">のまま） </t>
    </r>
    <r>
      <rPr>
        <sz val="9"/>
        <color rgb="FF000000"/>
        <rFont val="Meiryo"/>
        <family val="0"/>
        <charset val="1"/>
      </rPr>
      <t xml:space="preserve">UI</t>
    </r>
    <r>
      <rPr>
        <sz val="9"/>
        <color rgb="FF000000"/>
        <rFont val="Noto Sans CJK SC"/>
        <family val="2"/>
      </rPr>
      <t xml:space="preserve">で選べない、またはエラーが表示される</t>
    </r>
  </si>
  <si>
    <t xml:space="preserve">TR-0028</t>
  </si>
  <si>
    <t xml:space="preserve">TC-027</t>
  </si>
  <si>
    <r>
      <rPr>
        <sz val="9"/>
        <color rgb="FF000000"/>
        <rFont val="Meiryo"/>
        <family val="0"/>
        <charset val="1"/>
      </rPr>
      <t xml:space="preserve">Resolved</t>
    </r>
    <r>
      <rPr>
        <sz val="9"/>
        <color rgb="FF000000"/>
        <rFont val="Noto Sans CJK SC"/>
        <family val="2"/>
      </rPr>
      <t xml:space="preserve">から</t>
    </r>
    <r>
      <rPr>
        <sz val="9"/>
        <color rgb="FF000000"/>
        <rFont val="Meiryo"/>
        <family val="0"/>
        <charset val="1"/>
      </rPr>
      <t xml:space="preserve">Closed</t>
    </r>
    <r>
      <rPr>
        <sz val="9"/>
        <color rgb="FF000000"/>
        <rFont val="Noto Sans CJK SC"/>
        <family val="2"/>
      </rPr>
      <t xml:space="preserve">へ変更できる</t>
    </r>
  </si>
  <si>
    <r>
      <rPr>
        <sz val="9"/>
        <color rgb="FF000000"/>
        <rFont val="Noto Sans CJK SC"/>
        <family val="2"/>
      </rPr>
      <t xml:space="preserve">管理者でログイン済み</t>
    </r>
    <r>
      <rPr>
        <sz val="9"/>
        <color rgb="FF000000"/>
        <rFont val="Meiryo"/>
        <family val="0"/>
        <charset val="1"/>
      </rPr>
      <t xml:space="preserve">; </t>
    </r>
    <r>
      <rPr>
        <sz val="9"/>
        <color rgb="FF000000"/>
        <rFont val="Noto Sans CJK SC"/>
        <family val="2"/>
      </rPr>
      <t xml:space="preserve">ステータスが</t>
    </r>
    <r>
      <rPr>
        <sz val="9"/>
        <color rgb="FF000000"/>
        <rFont val="Meiryo"/>
        <family val="0"/>
        <charset val="1"/>
      </rPr>
      <t xml:space="preserve">Resolved</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#1(Resolved)</t>
    </r>
  </si>
  <si>
    <r>
      <rPr>
        <sz val="9"/>
        <color rgb="FF000000"/>
        <rFont val="Noto Sans CJK SC"/>
        <family val="2"/>
      </rPr>
      <t xml:space="preserve">ステータスを</t>
    </r>
    <r>
      <rPr>
        <sz val="9"/>
        <color rgb="FF000000"/>
        <rFont val="Meiryo"/>
        <family val="0"/>
        <charset val="1"/>
      </rPr>
      <t xml:space="preserve">Closed</t>
    </r>
    <r>
      <rPr>
        <sz val="9"/>
        <color rgb="FF000000"/>
        <rFont val="Noto Sans CJK SC"/>
        <family val="2"/>
      </rPr>
      <t xml:space="preserve">に変更する</t>
    </r>
  </si>
  <si>
    <r>
      <rPr>
        <sz val="9"/>
        <color rgb="FF000000"/>
        <rFont val="Noto Sans CJK SC"/>
        <family val="2"/>
      </rPr>
      <t xml:space="preserve">ステータスが</t>
    </r>
    <r>
      <rPr>
        <sz val="9"/>
        <color rgb="FF000000"/>
        <rFont val="Meiryo"/>
        <family val="0"/>
        <charset val="1"/>
      </rPr>
      <t xml:space="preserve">Closed</t>
    </r>
    <r>
      <rPr>
        <sz val="9"/>
        <color rgb="FF000000"/>
        <rFont val="Noto Sans CJK SC"/>
        <family val="2"/>
      </rPr>
      <t xml:space="preserve">に更新される</t>
    </r>
  </si>
  <si>
    <t xml:space="preserve">RQ-035;RQ-039</t>
  </si>
  <si>
    <t xml:space="preserve">TR-0029</t>
  </si>
  <si>
    <t xml:space="preserve">TC-028</t>
  </si>
  <si>
    <r>
      <rPr>
        <sz val="9"/>
        <color rgb="FF000000"/>
        <rFont val="Meiryo"/>
        <family val="0"/>
        <charset val="1"/>
      </rPr>
      <t xml:space="preserve">Closed</t>
    </r>
    <r>
      <rPr>
        <sz val="9"/>
        <color rgb="FF000000"/>
        <rFont val="Noto Sans CJK SC"/>
        <family val="2"/>
      </rPr>
      <t xml:space="preserve">から別状態への禁止遷移は拒否される</t>
    </r>
  </si>
  <si>
    <r>
      <rPr>
        <sz val="9"/>
        <color rgb="FF000000"/>
        <rFont val="Noto Sans CJK SC"/>
        <family val="2"/>
      </rPr>
      <t xml:space="preserve">管理者でログイン済み</t>
    </r>
    <r>
      <rPr>
        <sz val="9"/>
        <color rgb="FF000000"/>
        <rFont val="Meiryo"/>
        <family val="0"/>
        <charset val="1"/>
      </rPr>
      <t xml:space="preserve">; Closed</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#1(Closed)</t>
    </r>
  </si>
  <si>
    <r>
      <rPr>
        <sz val="9"/>
        <color rgb="FF000000"/>
        <rFont val="Meiryo"/>
        <family val="0"/>
        <charset val="1"/>
      </rPr>
      <t xml:space="preserve">Closed</t>
    </r>
    <r>
      <rPr>
        <sz val="9"/>
        <color rgb="FF000000"/>
        <rFont val="Noto Sans CJK SC"/>
        <family val="2"/>
      </rPr>
      <t xml:space="preserve">のチケットで別ステータスを選ぶ</t>
    </r>
  </si>
  <si>
    <r>
      <rPr>
        <sz val="9"/>
        <color rgb="FF000000"/>
        <rFont val="Noto Sans CJK SC"/>
        <family val="2"/>
      </rPr>
      <t xml:space="preserve">変更できない </t>
    </r>
    <r>
      <rPr>
        <sz val="9"/>
        <color rgb="FF000000"/>
        <rFont val="Meiryo"/>
        <family val="0"/>
        <charset val="1"/>
      </rPr>
      <t xml:space="preserve">UI</t>
    </r>
    <r>
      <rPr>
        <sz val="9"/>
        <color rgb="FF000000"/>
        <rFont val="Noto Sans CJK SC"/>
        <family val="2"/>
      </rPr>
      <t xml:space="preserve">で選べない または拒否される</t>
    </r>
  </si>
  <si>
    <t xml:space="preserve">RQ-035;RQ-041</t>
  </si>
  <si>
    <t xml:space="preserve">TR-0030</t>
  </si>
  <si>
    <t xml:space="preserve">TC-029</t>
  </si>
  <si>
    <r>
      <rPr>
        <sz val="9"/>
        <color rgb="FF000000"/>
        <rFont val="Noto Sans CJK SC"/>
        <family val="2"/>
      </rPr>
      <t xml:space="preserve">禁止遷移は直接操作でも拒否される（例：</t>
    </r>
    <r>
      <rPr>
        <sz val="9"/>
        <color rgb="FF000000"/>
        <rFont val="Meiryo"/>
        <family val="0"/>
        <charset val="1"/>
      </rPr>
      <t xml:space="preserve">Open→Resolved</t>
    </r>
    <r>
      <rPr>
        <sz val="9"/>
        <color rgb="FF000000"/>
        <rFont val="Noto Sans CJK SC"/>
        <family val="2"/>
      </rPr>
      <t xml:space="preserve">）</t>
    </r>
  </si>
  <si>
    <r>
      <rPr>
        <sz val="9"/>
        <color rgb="FF000000"/>
        <rFont val="Noto Sans CJK SC"/>
        <family val="2"/>
      </rPr>
      <t xml:space="preserve">管理者でログイン済み</t>
    </r>
    <r>
      <rPr>
        <sz val="9"/>
        <color rgb="FF000000"/>
        <rFont val="Meiryo"/>
        <family val="0"/>
        <charset val="1"/>
      </rPr>
      <t xml:space="preserve">; Open</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#2(Open)</t>
    </r>
  </si>
  <si>
    <r>
      <rPr>
        <sz val="9"/>
        <color rgb="FF000000"/>
        <rFont val="Noto Sans CJK SC"/>
        <family val="2"/>
      </rPr>
      <t xml:space="preserve">開発者ツール等でステータス更新リクエストを改変し、</t>
    </r>
    <r>
      <rPr>
        <sz val="9"/>
        <color rgb="FF000000"/>
        <rFont val="Meiryo"/>
        <family val="0"/>
        <charset val="1"/>
      </rPr>
      <t xml:space="preserve">status=Resolved</t>
    </r>
    <r>
      <rPr>
        <sz val="9"/>
        <color rgb="FF000000"/>
        <rFont val="Noto Sans CJK SC"/>
        <family val="2"/>
      </rPr>
      <t xml:space="preserve">で送信する</t>
    </r>
  </si>
  <si>
    <r>
      <rPr>
        <sz val="9"/>
        <color rgb="FF000000"/>
        <rFont val="Meiryo"/>
        <family val="0"/>
        <charset val="1"/>
      </rPr>
      <t xml:space="preserve">403</t>
    </r>
    <r>
      <rPr>
        <sz val="9"/>
        <color rgb="FF000000"/>
        <rFont val="Noto Sans CJK SC"/>
        <family val="2"/>
      </rPr>
      <t xml:space="preserve">等で拒否され更新されない（</t>
    </r>
    <r>
      <rPr>
        <sz val="9"/>
        <color rgb="FF000000"/>
        <rFont val="Meiryo"/>
        <family val="0"/>
        <charset val="1"/>
      </rPr>
      <t xml:space="preserve">Open</t>
    </r>
    <r>
      <rPr>
        <sz val="9"/>
        <color rgb="FF000000"/>
        <rFont val="Noto Sans CJK SC"/>
        <family val="2"/>
      </rPr>
      <t xml:space="preserve">のまま）</t>
    </r>
  </si>
  <si>
    <t xml:space="preserve">TR-0031</t>
  </si>
  <si>
    <t xml:space="preserve">TC-030</t>
  </si>
  <si>
    <r>
      <rPr>
        <sz val="9"/>
        <color rgb="FF000000"/>
        <rFont val="Meiryo"/>
        <family val="0"/>
        <charset val="1"/>
      </rPr>
      <t xml:space="preserve">Open</t>
    </r>
    <r>
      <rPr>
        <sz val="9"/>
        <color rgb="FF000000"/>
        <rFont val="Noto Sans CJK SC"/>
        <family val="2"/>
      </rPr>
      <t xml:space="preserve">から</t>
    </r>
    <r>
      <rPr>
        <sz val="9"/>
        <color rgb="FF000000"/>
        <rFont val="Meiryo"/>
        <family val="0"/>
        <charset val="1"/>
      </rPr>
      <t xml:space="preserve">Pending</t>
    </r>
    <r>
      <rPr>
        <sz val="9"/>
        <color rgb="FF000000"/>
        <rFont val="Noto Sans CJK SC"/>
        <family val="2"/>
      </rPr>
      <t xml:space="preserve">へ変更できる</t>
    </r>
  </si>
  <si>
    <r>
      <rPr>
        <sz val="9"/>
        <color rgb="FF000000"/>
        <rFont val="Noto Sans CJK SC"/>
        <family val="2"/>
      </rPr>
      <t xml:space="preserve">管理者でログイン済み</t>
    </r>
    <r>
      <rPr>
        <sz val="9"/>
        <color rgb="FF000000"/>
        <rFont val="Meiryo"/>
        <family val="0"/>
        <charset val="1"/>
      </rPr>
      <t xml:space="preserve">; </t>
    </r>
    <r>
      <rPr>
        <sz val="9"/>
        <color rgb="FF000000"/>
        <rFont val="Noto Sans CJK SC"/>
        <family val="2"/>
      </rPr>
      <t xml:space="preserve">ステータスが</t>
    </r>
    <r>
      <rPr>
        <sz val="9"/>
        <color rgb="FF000000"/>
        <rFont val="Meiryo"/>
        <family val="0"/>
        <charset val="1"/>
      </rPr>
      <t xml:space="preserve">Open</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#2(Open)</t>
    </r>
  </si>
  <si>
    <r>
      <rPr>
        <sz val="9"/>
        <color rgb="FF000000"/>
        <rFont val="Noto Sans CJK SC"/>
        <family val="2"/>
      </rPr>
      <t xml:space="preserve">チケットのステータスを</t>
    </r>
    <r>
      <rPr>
        <sz val="9"/>
        <color rgb="FF000000"/>
        <rFont val="Meiryo"/>
        <family val="0"/>
        <charset val="1"/>
      </rPr>
      <t xml:space="preserve">Pending</t>
    </r>
    <r>
      <rPr>
        <sz val="9"/>
        <color rgb="FF000000"/>
        <rFont val="Noto Sans CJK SC"/>
        <family val="2"/>
      </rPr>
      <t xml:space="preserve">に変更する</t>
    </r>
  </si>
  <si>
    <t xml:space="preserve">TR-0032</t>
  </si>
  <si>
    <t xml:space="preserve">TC-031</t>
  </si>
  <si>
    <r>
      <rPr>
        <sz val="9"/>
        <color rgb="FF000000"/>
        <rFont val="Meiryo"/>
        <family val="0"/>
        <charset val="1"/>
      </rPr>
      <t xml:space="preserve">Pending</t>
    </r>
    <r>
      <rPr>
        <sz val="9"/>
        <color rgb="FF000000"/>
        <rFont val="Noto Sans CJK SC"/>
        <family val="2"/>
      </rPr>
      <t xml:space="preserve">から</t>
    </r>
    <r>
      <rPr>
        <sz val="9"/>
        <color rgb="FF000000"/>
        <rFont val="Meiryo"/>
        <family val="0"/>
        <charset val="1"/>
      </rPr>
      <t xml:space="preserve">Resolved</t>
    </r>
    <r>
      <rPr>
        <sz val="9"/>
        <color rgb="FF000000"/>
        <rFont val="Noto Sans CJK SC"/>
        <family val="2"/>
      </rPr>
      <t xml:space="preserve">への禁止遷移は拒否される</t>
    </r>
  </si>
  <si>
    <r>
      <rPr>
        <sz val="9"/>
        <color rgb="FF000000"/>
        <rFont val="Noto Sans CJK SC"/>
        <family val="2"/>
      </rPr>
      <t xml:space="preserve">管理者でログイン済み</t>
    </r>
    <r>
      <rPr>
        <sz val="9"/>
        <color rgb="FF000000"/>
        <rFont val="Meiryo"/>
        <family val="0"/>
        <charset val="1"/>
      </rPr>
      <t xml:space="preserve">; Pending</t>
    </r>
    <r>
      <rPr>
        <sz val="9"/>
        <color rgb="FF000000"/>
        <rFont val="Noto Sans CJK SC"/>
        <family val="2"/>
      </rPr>
      <t xml:space="preserve">のチケットが存在する </t>
    </r>
    <r>
      <rPr>
        <sz val="9"/>
        <color rgb="FF000000"/>
        <rFont val="Meiryo"/>
        <family val="0"/>
        <charset val="1"/>
      </rPr>
      <t xml:space="preserve">/ </t>
    </r>
    <r>
      <rPr>
        <sz val="9"/>
        <color rgb="FF000000"/>
        <rFont val="Noto Sans CJK SC"/>
        <family val="2"/>
      </rPr>
      <t xml:space="preserve">管理者</t>
    </r>
    <r>
      <rPr>
        <sz val="9"/>
        <color rgb="FF000000"/>
        <rFont val="Meiryo"/>
        <family val="0"/>
        <charset val="1"/>
      </rPr>
      <t xml:space="preserve">:admin1; </t>
    </r>
    <r>
      <rPr>
        <sz val="9"/>
        <color rgb="FF000000"/>
        <rFont val="Noto Sans CJK SC"/>
        <family val="2"/>
      </rPr>
      <t xml:space="preserve">チケット</t>
    </r>
    <r>
      <rPr>
        <sz val="9"/>
        <color rgb="FF000000"/>
        <rFont val="Meiryo"/>
        <family val="0"/>
        <charset val="1"/>
      </rPr>
      <t xml:space="preserve">:Ticket #2(Pending)</t>
    </r>
  </si>
  <si>
    <r>
      <rPr>
        <sz val="9"/>
        <color rgb="FF000000"/>
        <rFont val="Noto Sans CJK SC"/>
        <family val="2"/>
      </rPr>
      <t xml:space="preserve">禁止遷移として拒否され状態は変わらない（</t>
    </r>
    <r>
      <rPr>
        <sz val="9"/>
        <color rgb="FF000000"/>
        <rFont val="Meiryo"/>
        <family val="0"/>
        <charset val="1"/>
      </rPr>
      <t xml:space="preserve">Pending</t>
    </r>
    <r>
      <rPr>
        <sz val="9"/>
        <color rgb="FF000000"/>
        <rFont val="Noto Sans CJK SC"/>
        <family val="2"/>
      </rPr>
      <t xml:space="preserve">のまま） </t>
    </r>
    <r>
      <rPr>
        <sz val="9"/>
        <color rgb="FF000000"/>
        <rFont val="Meiryo"/>
        <family val="0"/>
        <charset val="1"/>
      </rPr>
      <t xml:space="preserve">UI</t>
    </r>
    <r>
      <rPr>
        <sz val="9"/>
        <color rgb="FF000000"/>
        <rFont val="Noto Sans CJK SC"/>
        <family val="2"/>
      </rPr>
      <t xml:space="preserve">で選べない、またはエラーが表示される</t>
    </r>
  </si>
  <si>
    <t xml:space="preserve">TR-0033</t>
  </si>
  <si>
    <t xml:space="preserve">TC-032</t>
  </si>
  <si>
    <t xml:space="preserve">チケット作成画面</t>
  </si>
  <si>
    <t xml:space="preserve">チケット作成入力</t>
  </si>
  <si>
    <r>
      <rPr>
        <sz val="9"/>
        <color rgb="FF000000"/>
        <rFont val="Noto Sans CJK SC"/>
        <family val="2"/>
      </rPr>
      <t xml:space="preserve">入力バリデーション：正常系</t>
    </r>
    <r>
      <rPr>
        <sz val="9"/>
        <color rgb="FF000000"/>
        <rFont val="Meiryo"/>
        <family val="0"/>
        <charset val="1"/>
      </rPr>
      <t xml:space="preserve">(</t>
    </r>
    <r>
      <rPr>
        <sz val="9"/>
        <color rgb="FF000000"/>
        <rFont val="Noto Sans CJK SC"/>
        <family val="2"/>
      </rPr>
      <t xml:space="preserve">必須</t>
    </r>
    <r>
      <rPr>
        <sz val="9"/>
        <color rgb="FF000000"/>
        <rFont val="Meiryo"/>
        <family val="0"/>
        <charset val="1"/>
      </rPr>
      <t xml:space="preserve">)</t>
    </r>
  </si>
  <si>
    <t xml:space="preserve">必須項目を満たしてチケットを作成できる</t>
  </si>
  <si>
    <r>
      <rPr>
        <sz val="9"/>
        <color rgb="FF000000"/>
        <rFont val="Noto Sans CJK SC"/>
        <family val="2"/>
      </rPr>
      <t xml:space="preserve">依頼者でログイン済み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タイトル</t>
    </r>
    <r>
      <rPr>
        <sz val="9"/>
        <color rgb="FF000000"/>
        <rFont val="Meiryo"/>
        <family val="0"/>
        <charset val="1"/>
      </rPr>
      <t xml:space="preserve">:</t>
    </r>
    <r>
      <rPr>
        <sz val="9"/>
        <color rgb="FF000000"/>
        <rFont val="Noto Sans CJK SC"/>
        <family val="2"/>
      </rPr>
      <t xml:space="preserve">有効</t>
    </r>
    <r>
      <rPr>
        <sz val="9"/>
        <color rgb="FF000000"/>
        <rFont val="Meiryo"/>
        <family val="0"/>
        <charset val="1"/>
      </rPr>
      <t xml:space="preserve">; </t>
    </r>
    <r>
      <rPr>
        <sz val="9"/>
        <color rgb="FF000000"/>
        <rFont val="Noto Sans CJK SC"/>
        <family val="2"/>
      </rPr>
      <t xml:space="preserve">本文</t>
    </r>
    <r>
      <rPr>
        <sz val="9"/>
        <color rgb="FF000000"/>
        <rFont val="Meiryo"/>
        <family val="0"/>
        <charset val="1"/>
      </rPr>
      <t xml:space="preserve">:</t>
    </r>
    <r>
      <rPr>
        <sz val="9"/>
        <color rgb="FF000000"/>
        <rFont val="Noto Sans CJK SC"/>
        <family val="2"/>
      </rPr>
      <t xml:space="preserve">有効</t>
    </r>
  </si>
  <si>
    <t xml:space="preserve">新規作成から必須項目を入力して作成</t>
  </si>
  <si>
    <t xml:space="preserve">作成に成功し一覧に表示される</t>
  </si>
  <si>
    <t xml:space="preserve">RQ-003;RQ-004;RQ-005;RQ-012</t>
  </si>
  <si>
    <r>
      <rPr>
        <sz val="9"/>
        <color rgb="FF000000"/>
        <rFont val="Meiryo"/>
        <family val="0"/>
        <charset val="1"/>
      </rPr>
      <t xml:space="preserve">Auto-01</t>
    </r>
    <r>
      <rPr>
        <sz val="9"/>
        <color rgb="FF000000"/>
        <rFont val="Noto Sans CJK SC"/>
        <family val="2"/>
      </rPr>
      <t xml:space="preserve">（</t>
    </r>
    <r>
      <rPr>
        <sz val="9"/>
        <color rgb="FF000000"/>
        <rFont val="Meiryo"/>
        <family val="0"/>
        <charset val="1"/>
      </rPr>
      <t xml:space="preserve">E2E</t>
    </r>
    <r>
      <rPr>
        <sz val="9"/>
        <color rgb="FF000000"/>
        <rFont val="Noto Sans CJK SC"/>
        <family val="2"/>
      </rPr>
      <t xml:space="preserve">）</t>
    </r>
    <r>
      <rPr>
        <sz val="9"/>
        <color rgb="FF000000"/>
        <rFont val="Meiryo"/>
        <family val="0"/>
        <charset val="1"/>
      </rPr>
      <t xml:space="preserve">/ API-A</t>
    </r>
    <r>
      <rPr>
        <sz val="9"/>
        <color rgb="FF000000"/>
        <rFont val="Noto Sans CJK SC"/>
        <family val="2"/>
      </rPr>
      <t xml:space="preserve">（</t>
    </r>
    <r>
      <rPr>
        <sz val="9"/>
        <color rgb="FF000000"/>
        <rFont val="Meiryo"/>
        <family val="0"/>
        <charset val="1"/>
      </rPr>
      <t xml:space="preserve">create_authorization</t>
    </r>
    <r>
      <rPr>
        <sz val="9"/>
        <color rgb="FF000000"/>
        <rFont val="Noto Sans CJK SC"/>
        <family val="2"/>
      </rPr>
      <t xml:space="preserve">）・</t>
    </r>
    <r>
      <rPr>
        <sz val="9"/>
        <color rgb="FF000000"/>
        <rFont val="Meiryo"/>
        <family val="0"/>
        <charset val="1"/>
      </rPr>
      <t xml:space="preserve">API-C</t>
    </r>
    <r>
      <rPr>
        <sz val="9"/>
        <color rgb="FF000000"/>
        <rFont val="Noto Sans CJK SC"/>
        <family val="2"/>
      </rPr>
      <t xml:space="preserve">（</t>
    </r>
    <r>
      <rPr>
        <sz val="9"/>
        <color rgb="FF000000"/>
        <rFont val="Meiryo"/>
        <family val="0"/>
        <charset val="1"/>
      </rPr>
      <t xml:space="preserve">title_body_boundary</t>
    </r>
    <r>
      <rPr>
        <sz val="9"/>
        <color rgb="FF000000"/>
        <rFont val="Noto Sans CJK SC"/>
        <family val="2"/>
      </rPr>
      <t xml:space="preserve">）</t>
    </r>
  </si>
  <si>
    <t xml:space="preserve">TR-0034</t>
  </si>
  <si>
    <t xml:space="preserve">TC-033</t>
  </si>
  <si>
    <r>
      <rPr>
        <sz val="9"/>
        <color rgb="FF000000"/>
        <rFont val="Noto Sans CJK SC"/>
        <family val="2"/>
      </rPr>
      <t xml:space="preserve">入力バリデーション：異常系</t>
    </r>
    <r>
      <rPr>
        <sz val="9"/>
        <color rgb="FF000000"/>
        <rFont val="Meiryo"/>
        <family val="0"/>
        <charset val="1"/>
      </rPr>
      <t xml:space="preserve">(</t>
    </r>
    <r>
      <rPr>
        <sz val="9"/>
        <color rgb="FF000000"/>
        <rFont val="Noto Sans CJK SC"/>
        <family val="2"/>
      </rPr>
      <t xml:space="preserve">必須</t>
    </r>
    <r>
      <rPr>
        <sz val="9"/>
        <color rgb="FF000000"/>
        <rFont val="Meiryo"/>
        <family val="0"/>
        <charset val="1"/>
      </rPr>
      <t xml:space="preserve">)</t>
    </r>
  </si>
  <si>
    <t xml:space="preserve">必須不足の場合は作成できずエラーが表示される</t>
  </si>
  <si>
    <r>
      <rPr>
        <sz val="9"/>
        <color rgb="FF000000"/>
        <rFont val="Noto Sans CJK SC"/>
        <family val="2"/>
      </rPr>
      <t xml:space="preserve">依頼者でログイン済み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タイトル</t>
    </r>
    <r>
      <rPr>
        <sz val="9"/>
        <color rgb="FF000000"/>
        <rFont val="Meiryo"/>
        <family val="0"/>
        <charset val="1"/>
      </rPr>
      <t xml:space="preserve">:</t>
    </r>
    <r>
      <rPr>
        <sz val="9"/>
        <color rgb="FF000000"/>
        <rFont val="Noto Sans CJK SC"/>
        <family val="2"/>
      </rPr>
      <t xml:space="preserve">空</t>
    </r>
    <r>
      <rPr>
        <sz val="9"/>
        <color rgb="FF000000"/>
        <rFont val="Meiryo"/>
        <family val="0"/>
        <charset val="1"/>
      </rPr>
      <t xml:space="preserve">; </t>
    </r>
    <r>
      <rPr>
        <sz val="9"/>
        <color rgb="FF000000"/>
        <rFont val="Noto Sans CJK SC"/>
        <family val="2"/>
      </rPr>
      <t xml:space="preserve">本文</t>
    </r>
    <r>
      <rPr>
        <sz val="9"/>
        <color rgb="FF000000"/>
        <rFont val="Meiryo"/>
        <family val="0"/>
        <charset val="1"/>
      </rPr>
      <t xml:space="preserve">:</t>
    </r>
    <r>
      <rPr>
        <sz val="9"/>
        <color rgb="FF000000"/>
        <rFont val="Noto Sans CJK SC"/>
        <family val="2"/>
      </rPr>
      <t xml:space="preserve">有効</t>
    </r>
  </si>
  <si>
    <t xml:space="preserve">タイトルを未入力で作成を実行</t>
  </si>
  <si>
    <t xml:space="preserve">作成されず必須エラーが表示される</t>
  </si>
  <si>
    <t xml:space="preserve">RQ-003</t>
  </si>
  <si>
    <r>
      <rPr>
        <sz val="9"/>
        <color rgb="FF000000"/>
        <rFont val="Meiryo"/>
        <family val="0"/>
        <charset val="1"/>
      </rPr>
      <t xml:space="preserve">API-C</t>
    </r>
    <r>
      <rPr>
        <sz val="9"/>
        <color rgb="FF000000"/>
        <rFont val="Noto Sans CJK SC"/>
        <family val="2"/>
      </rPr>
      <t xml:space="preserve">（</t>
    </r>
    <r>
      <rPr>
        <sz val="9"/>
        <color rgb="FF000000"/>
        <rFont val="Meiryo"/>
        <family val="0"/>
        <charset val="1"/>
      </rPr>
      <t xml:space="preserve">title_body_boundary</t>
    </r>
    <r>
      <rPr>
        <sz val="9"/>
        <color rgb="FF000000"/>
        <rFont val="Noto Sans CJK SC"/>
        <family val="2"/>
      </rPr>
      <t xml:space="preserve">）</t>
    </r>
  </si>
  <si>
    <t xml:space="preserve">2026/02/12</t>
  </si>
  <si>
    <t xml:space="preserve">TR-0035</t>
  </si>
  <si>
    <t xml:space="preserve">TC-034</t>
  </si>
  <si>
    <r>
      <rPr>
        <sz val="9"/>
        <color rgb="FF000000"/>
        <rFont val="Noto Sans CJK SC"/>
        <family val="2"/>
      </rPr>
      <t xml:space="preserve">バリデーション：境界値</t>
    </r>
    <r>
      <rPr>
        <sz val="9"/>
        <color rgb="FF000000"/>
        <rFont val="Meiryo"/>
        <family val="0"/>
        <charset val="1"/>
      </rPr>
      <t xml:space="preserve">(</t>
    </r>
    <r>
      <rPr>
        <sz val="9"/>
        <color rgb="FF000000"/>
        <rFont val="Noto Sans CJK SC"/>
        <family val="2"/>
      </rPr>
      <t xml:space="preserve">最大</t>
    </r>
    <r>
      <rPr>
        <sz val="9"/>
        <color rgb="FF000000"/>
        <rFont val="Meiryo"/>
        <family val="0"/>
        <charset val="1"/>
      </rPr>
      <t xml:space="preserve">)</t>
    </r>
  </si>
  <si>
    <t xml:space="preserve">タイトル最大長ちょうどは受理される</t>
  </si>
  <si>
    <r>
      <rPr>
        <sz val="9"/>
        <color rgb="FF000000"/>
        <rFont val="Noto Sans CJK SC"/>
        <family val="2"/>
      </rPr>
      <t xml:space="preserve">依頼者でログイン済み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タイトル</t>
    </r>
    <r>
      <rPr>
        <sz val="9"/>
        <color rgb="FF000000"/>
        <rFont val="Meiryo"/>
        <family val="0"/>
        <charset val="1"/>
      </rPr>
      <t xml:space="preserve">:</t>
    </r>
    <r>
      <rPr>
        <sz val="9"/>
        <color rgb="FF000000"/>
        <rFont val="Noto Sans CJK SC"/>
        <family val="2"/>
      </rPr>
      <t xml:space="preserve">最大長</t>
    </r>
    <r>
      <rPr>
        <sz val="9"/>
        <color rgb="FF000000"/>
        <rFont val="Meiryo"/>
        <family val="0"/>
        <charset val="1"/>
      </rPr>
      <t xml:space="preserve">; </t>
    </r>
    <r>
      <rPr>
        <sz val="9"/>
        <color rgb="FF000000"/>
        <rFont val="Noto Sans CJK SC"/>
        <family val="2"/>
      </rPr>
      <t xml:space="preserve">本文</t>
    </r>
    <r>
      <rPr>
        <sz val="9"/>
        <color rgb="FF000000"/>
        <rFont val="Meiryo"/>
        <family val="0"/>
        <charset val="1"/>
      </rPr>
      <t xml:space="preserve">:</t>
    </r>
    <r>
      <rPr>
        <sz val="9"/>
        <color rgb="FF000000"/>
        <rFont val="Noto Sans CJK SC"/>
        <family val="2"/>
      </rPr>
      <t xml:space="preserve">有効</t>
    </r>
  </si>
  <si>
    <t xml:space="preserve">最大長ちょうどのタイトルで作成を実行</t>
  </si>
  <si>
    <t xml:space="preserve">作成に成功する エラーにならない</t>
  </si>
  <si>
    <t xml:space="preserve">TR-0036</t>
  </si>
  <si>
    <t xml:space="preserve">TC-035</t>
  </si>
  <si>
    <t xml:space="preserve">バリデーション：境界値超過</t>
  </si>
  <si>
    <r>
      <rPr>
        <sz val="9"/>
        <color rgb="FF000000"/>
        <rFont val="Noto Sans CJK SC"/>
        <family val="2"/>
      </rPr>
      <t xml:space="preserve">タイトル最大長</t>
    </r>
    <r>
      <rPr>
        <sz val="9"/>
        <color rgb="FF000000"/>
        <rFont val="Meiryo"/>
        <family val="0"/>
        <charset val="1"/>
      </rPr>
      <t xml:space="preserve">+1</t>
    </r>
    <r>
      <rPr>
        <sz val="9"/>
        <color rgb="FF000000"/>
        <rFont val="Noto Sans CJK SC"/>
        <family val="2"/>
      </rPr>
      <t xml:space="preserve">は拒否される</t>
    </r>
  </si>
  <si>
    <r>
      <rPr>
        <sz val="9"/>
        <color rgb="FF000000"/>
        <rFont val="Noto Sans CJK SC"/>
        <family val="2"/>
      </rPr>
      <t xml:space="preserve">依頼者でログイン済み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タイトル</t>
    </r>
    <r>
      <rPr>
        <sz val="9"/>
        <color rgb="FF000000"/>
        <rFont val="Meiryo"/>
        <family val="0"/>
        <charset val="1"/>
      </rPr>
      <t xml:space="preserve">:</t>
    </r>
    <r>
      <rPr>
        <sz val="9"/>
        <color rgb="FF000000"/>
        <rFont val="Noto Sans CJK SC"/>
        <family val="2"/>
      </rPr>
      <t xml:space="preserve">最大長</t>
    </r>
    <r>
      <rPr>
        <sz val="9"/>
        <color rgb="FF000000"/>
        <rFont val="Meiryo"/>
        <family val="0"/>
        <charset val="1"/>
      </rPr>
      <t xml:space="preserve">+1; </t>
    </r>
    <r>
      <rPr>
        <sz val="9"/>
        <color rgb="FF000000"/>
        <rFont val="Noto Sans CJK SC"/>
        <family val="2"/>
      </rPr>
      <t xml:space="preserve">本文</t>
    </r>
    <r>
      <rPr>
        <sz val="9"/>
        <color rgb="FF000000"/>
        <rFont val="Meiryo"/>
        <family val="0"/>
        <charset val="1"/>
      </rPr>
      <t xml:space="preserve">:</t>
    </r>
    <r>
      <rPr>
        <sz val="9"/>
        <color rgb="FF000000"/>
        <rFont val="Noto Sans CJK SC"/>
        <family val="2"/>
      </rPr>
      <t xml:space="preserve">有効</t>
    </r>
  </si>
  <si>
    <r>
      <rPr>
        <sz val="9"/>
        <color rgb="FF000000"/>
        <rFont val="Noto Sans CJK SC"/>
        <family val="2"/>
      </rPr>
      <t xml:space="preserve">最大長</t>
    </r>
    <r>
      <rPr>
        <sz val="9"/>
        <color rgb="FF000000"/>
        <rFont val="Meiryo"/>
        <family val="0"/>
        <charset val="1"/>
      </rPr>
      <t xml:space="preserve">+1</t>
    </r>
    <r>
      <rPr>
        <sz val="9"/>
        <color rgb="FF000000"/>
        <rFont val="Noto Sans CJK SC"/>
        <family val="2"/>
      </rPr>
      <t xml:space="preserve">のタイトルで作成を実行</t>
    </r>
  </si>
  <si>
    <r>
      <rPr>
        <sz val="9"/>
        <color rgb="FF000000"/>
        <rFont val="Noto Sans CJK SC"/>
        <family val="2"/>
      </rPr>
      <t xml:space="preserve">作成されず文字数エラーが表示される または</t>
    </r>
    <r>
      <rPr>
        <sz val="9"/>
        <color rgb="FF000000"/>
        <rFont val="Meiryo"/>
        <family val="0"/>
        <charset val="1"/>
      </rPr>
      <t xml:space="preserve">80</t>
    </r>
    <r>
      <rPr>
        <sz val="9"/>
        <color rgb="FF000000"/>
        <rFont val="Noto Sans CJK SC"/>
        <family val="2"/>
      </rPr>
      <t xml:space="preserve">文字以上入力できない</t>
    </r>
  </si>
  <si>
    <t xml:space="preserve">TR-0037</t>
  </si>
  <si>
    <t xml:space="preserve">TC-036</t>
  </si>
  <si>
    <t xml:space="preserve">期限管理</t>
  </si>
  <si>
    <t xml:space="preserve">ビジネスルール：日付妥当性</t>
  </si>
  <si>
    <t xml:space="preserve">期限を過去日に設定できない</t>
  </si>
  <si>
    <r>
      <rPr>
        <sz val="9"/>
        <color rgb="FF000000"/>
        <rFont val="Noto Sans CJK SC"/>
        <family val="2"/>
      </rPr>
      <t xml:space="preserve">管理者でログイン済み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:admin1</t>
    </r>
  </si>
  <si>
    <t xml:space="preserve">期限に過去日を入力して保存を実行</t>
  </si>
  <si>
    <t xml:space="preserve">期限エラーが表示される</t>
  </si>
  <si>
    <t xml:space="preserve">RQ-006</t>
  </si>
  <si>
    <r>
      <rPr>
        <sz val="9"/>
        <color rgb="FF000000"/>
        <rFont val="Meiryo"/>
        <family val="0"/>
        <charset val="1"/>
      </rPr>
      <t xml:space="preserve">Auto-05</t>
    </r>
    <r>
      <rPr>
        <sz val="9"/>
        <color rgb="FF000000"/>
        <rFont val="Noto Sans CJK SC"/>
        <family val="2"/>
      </rPr>
      <t xml:space="preserve">（</t>
    </r>
    <r>
      <rPr>
        <sz val="9"/>
        <color rgb="FF000000"/>
        <rFont val="Meiryo"/>
        <family val="0"/>
        <charset val="1"/>
      </rPr>
      <t xml:space="preserve">E2E</t>
    </r>
    <r>
      <rPr>
        <sz val="9"/>
        <color rgb="FF000000"/>
        <rFont val="Noto Sans CJK SC"/>
        <family val="2"/>
      </rPr>
      <t xml:space="preserve">）</t>
    </r>
    <r>
      <rPr>
        <sz val="9"/>
        <color rgb="FF000000"/>
        <rFont val="Meiryo"/>
        <family val="0"/>
        <charset val="1"/>
      </rPr>
      <t xml:space="preserve">/ API-C</t>
    </r>
    <r>
      <rPr>
        <sz val="9"/>
        <color rgb="FF000000"/>
        <rFont val="Noto Sans CJK SC"/>
        <family val="2"/>
      </rPr>
      <t xml:space="preserve">（</t>
    </r>
    <r>
      <rPr>
        <sz val="9"/>
        <color rgb="FF000000"/>
        <rFont val="Meiryo"/>
        <family val="0"/>
        <charset val="1"/>
      </rPr>
      <t xml:space="preserve">due_date</t>
    </r>
    <r>
      <rPr>
        <sz val="9"/>
        <color rgb="FF000000"/>
        <rFont val="Noto Sans CJK SC"/>
        <family val="2"/>
      </rPr>
      <t xml:space="preserve">）</t>
    </r>
  </si>
  <si>
    <t xml:space="preserve">TR-0038</t>
  </si>
  <si>
    <t xml:space="preserve">DEFECT-003</t>
  </si>
  <si>
    <r>
      <rPr>
        <sz val="9"/>
        <color rgb="FF000000"/>
        <rFont val="Noto Sans CJK SC"/>
        <family val="2"/>
      </rPr>
      <t xml:space="preserve">手動は合格。</t>
    </r>
    <r>
      <rPr>
        <sz val="9"/>
        <color rgb="FF000000"/>
        <rFont val="Meiryo"/>
        <family val="0"/>
        <charset val="1"/>
      </rPr>
      <t xml:space="preserve">runn API</t>
    </r>
    <r>
      <rPr>
        <sz val="9"/>
        <color rgb="FF000000"/>
        <rFont val="Noto Sans CJK SC"/>
        <family val="2"/>
      </rPr>
      <t xml:space="preserve">層</t>
    </r>
    <r>
      <rPr>
        <sz val="9"/>
        <color rgb="FF000000"/>
        <rFont val="Meiryo"/>
        <family val="0"/>
        <charset val="1"/>
      </rPr>
      <t xml:space="preserve">(</t>
    </r>
    <r>
      <rPr>
        <sz val="9"/>
        <color rgb="FF000000"/>
        <rFont val="Noto Sans CJK SC"/>
        <family val="2"/>
      </rPr>
      <t xml:space="preserve">過去日→</t>
    </r>
    <r>
      <rPr>
        <sz val="9"/>
        <color rgb="FF000000"/>
        <rFont val="Meiryo"/>
        <family val="0"/>
        <charset val="1"/>
      </rPr>
      <t xml:space="preserve">400)</t>
    </r>
    <r>
      <rPr>
        <sz val="9"/>
        <color rgb="FF000000"/>
        <rFont val="Noto Sans CJK SC"/>
        <family val="2"/>
      </rPr>
      <t xml:space="preserve">の期待値設計が</t>
    </r>
    <r>
      <rPr>
        <sz val="9"/>
        <color rgb="FF000000"/>
        <rFont val="Meiryo"/>
        <family val="0"/>
        <charset val="1"/>
      </rPr>
      <t xml:space="preserve">HTML</t>
    </r>
    <r>
      <rPr>
        <sz val="9"/>
        <color rgb="FF000000"/>
        <rFont val="Noto Sans CJK SC"/>
        <family val="2"/>
      </rPr>
      <t xml:space="preserve">側の</t>
    </r>
    <r>
      <rPr>
        <sz val="9"/>
        <color rgb="FF000000"/>
        <rFont val="Meiryo"/>
        <family val="0"/>
        <charset val="1"/>
      </rPr>
      <t xml:space="preserve">500(full_clean</t>
    </r>
    <r>
      <rPr>
        <sz val="9"/>
        <color rgb="FF000000"/>
        <rFont val="Noto Sans CJK SC"/>
        <family val="2"/>
      </rPr>
      <t xml:space="preserve">例外</t>
    </r>
    <r>
      <rPr>
        <sz val="9"/>
        <color rgb="FF000000"/>
        <rFont val="Meiryo"/>
        <family val="0"/>
        <charset val="1"/>
      </rPr>
      <t xml:space="preserve">)</t>
    </r>
    <r>
      <rPr>
        <sz val="9"/>
        <color rgb="FF000000"/>
        <rFont val="Noto Sans CJK SC"/>
        <family val="2"/>
      </rPr>
      <t xml:space="preserve">を炙り出し→修正→</t>
    </r>
    <r>
      <rPr>
        <sz val="9"/>
        <color rgb="FF000000"/>
        <rFont val="Meiryo"/>
        <family val="0"/>
        <charset val="1"/>
      </rPr>
      <t xml:space="preserve">Auto-05/API-C</t>
    </r>
    <r>
      <rPr>
        <sz val="9"/>
        <color rgb="FF000000"/>
        <rFont val="Noto Sans CJK SC"/>
        <family val="2"/>
      </rPr>
      <t xml:space="preserve">で回帰</t>
    </r>
  </si>
  <si>
    <t xml:space="preserve">TC-037</t>
  </si>
  <si>
    <t xml:space="preserve">添付ファイル管理</t>
  </si>
  <si>
    <t xml:space="preserve">ビジネスルール：不変性制約</t>
  </si>
  <si>
    <r>
      <rPr>
        <sz val="9"/>
        <color rgb="FF000000"/>
        <rFont val="Noto Sans CJK SC"/>
        <family val="2"/>
      </rPr>
      <t xml:space="preserve">添付は作成後に削除</t>
    </r>
    <r>
      <rPr>
        <sz val="9"/>
        <color rgb="FF000000"/>
        <rFont val="Meiryo"/>
        <family val="0"/>
        <charset val="1"/>
      </rPr>
      <t xml:space="preserve">/</t>
    </r>
    <r>
      <rPr>
        <sz val="9"/>
        <color rgb="FF000000"/>
        <rFont val="Noto Sans CJK SC"/>
        <family val="2"/>
      </rPr>
      <t xml:space="preserve">差し替えできない</t>
    </r>
  </si>
  <si>
    <r>
      <rPr>
        <sz val="9"/>
        <color rgb="FF000000"/>
        <rFont val="Noto Sans CJK SC"/>
        <family val="2"/>
      </rPr>
      <t xml:space="preserve">依頼者でログイン済み</t>
    </r>
    <r>
      <rPr>
        <sz val="9"/>
        <color rgb="FF000000"/>
        <rFont val="Meiryo"/>
        <family val="0"/>
        <charset val="1"/>
      </rPr>
      <t xml:space="preserve">; </t>
    </r>
    <r>
      <rPr>
        <sz val="9"/>
        <color rgb="FF000000"/>
        <rFont val="Noto Sans CJK SC"/>
        <family val="2"/>
      </rPr>
      <t xml:space="preserve">添付付きチケットが存在する</t>
    </r>
  </si>
  <si>
    <r>
      <rPr>
        <sz val="9"/>
        <color rgb="FF000000"/>
        <rFont val="Noto Sans CJK SC"/>
        <family val="2"/>
      </rPr>
      <t xml:space="preserve">添付付きチケット詳細を開き、削除</t>
    </r>
    <r>
      <rPr>
        <sz val="9"/>
        <color rgb="FF000000"/>
        <rFont val="Meiryo"/>
        <family val="0"/>
        <charset val="1"/>
      </rPr>
      <t xml:space="preserve">/</t>
    </r>
    <r>
      <rPr>
        <sz val="9"/>
        <color rgb="FF000000"/>
        <rFont val="Noto Sans CJK SC"/>
        <family val="2"/>
      </rPr>
      <t xml:space="preserve">差し替え</t>
    </r>
    <r>
      <rPr>
        <sz val="9"/>
        <color rgb="FF000000"/>
        <rFont val="Meiryo"/>
        <family val="0"/>
        <charset val="1"/>
      </rPr>
      <t xml:space="preserve">UI</t>
    </r>
    <r>
      <rPr>
        <sz val="9"/>
        <color rgb="FF000000"/>
        <rFont val="Noto Sans CJK SC"/>
        <family val="2"/>
      </rPr>
      <t xml:space="preserve">の有無を確認する</t>
    </r>
  </si>
  <si>
    <r>
      <rPr>
        <sz val="9"/>
        <color rgb="FF000000"/>
        <rFont val="Noto Sans CJK SC"/>
        <family val="2"/>
      </rPr>
      <t xml:space="preserve">削除</t>
    </r>
    <r>
      <rPr>
        <sz val="9"/>
        <color rgb="FF000000"/>
        <rFont val="Meiryo"/>
        <family val="0"/>
        <charset val="1"/>
      </rPr>
      <t xml:space="preserve">/</t>
    </r>
    <r>
      <rPr>
        <sz val="9"/>
        <color rgb="FF000000"/>
        <rFont val="Noto Sans CJK SC"/>
        <family val="2"/>
      </rPr>
      <t xml:space="preserve">差し替え</t>
    </r>
    <r>
      <rPr>
        <sz val="9"/>
        <color rgb="FF000000"/>
        <rFont val="Meiryo"/>
        <family val="0"/>
        <charset val="1"/>
      </rPr>
      <t xml:space="preserve">UI</t>
    </r>
    <r>
      <rPr>
        <sz val="9"/>
        <color rgb="FF000000"/>
        <rFont val="Noto Sans CJK SC"/>
        <family val="2"/>
      </rPr>
      <t xml:space="preserve">が存在しない</t>
    </r>
  </si>
  <si>
    <t xml:space="preserve">RQ-011</t>
  </si>
  <si>
    <r>
      <rPr>
        <sz val="9"/>
        <color rgb="FF000000"/>
        <rFont val="Noto Sans CJK SC"/>
        <family val="2"/>
      </rPr>
      <t xml:space="preserve">手動専用（添付不変・</t>
    </r>
    <r>
      <rPr>
        <sz val="9"/>
        <color rgb="FF000000"/>
        <rFont val="Meiryo"/>
        <family val="0"/>
        <charset val="1"/>
      </rPr>
      <t xml:space="preserve">80§9</t>
    </r>
    <r>
      <rPr>
        <sz val="9"/>
        <color rgb="FF000000"/>
        <rFont val="Noto Sans CJK SC"/>
        <family val="2"/>
      </rPr>
      <t xml:space="preserve">で</t>
    </r>
    <r>
      <rPr>
        <sz val="9"/>
        <color rgb="FF000000"/>
        <rFont val="Meiryo"/>
        <family val="0"/>
        <charset val="1"/>
      </rPr>
      <t xml:space="preserve">API</t>
    </r>
    <r>
      <rPr>
        <sz val="9"/>
        <color rgb="FF000000"/>
        <rFont val="Noto Sans CJK SC"/>
        <family val="2"/>
      </rPr>
      <t xml:space="preserve">対象外）</t>
    </r>
  </si>
  <si>
    <t xml:space="preserve">TR-0039</t>
  </si>
  <si>
    <t xml:space="preserve">TC-038</t>
  </si>
  <si>
    <t xml:space="preserve">添付ファイルアップロード</t>
  </si>
  <si>
    <t xml:space="preserve">バリデーション：サイズ上限</t>
  </si>
  <si>
    <t xml:space="preserve">添付ファイルのサイズ上限超過は拒否される</t>
  </si>
  <si>
    <r>
      <rPr>
        <sz val="9"/>
        <color rgb="FF000000"/>
        <rFont val="Noto Sans CJK SC"/>
        <family val="2"/>
      </rPr>
      <t xml:space="preserve">依頼者でログイン済み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添付</t>
    </r>
    <r>
      <rPr>
        <sz val="9"/>
        <color rgb="FF000000"/>
        <rFont val="Meiryo"/>
        <family val="0"/>
        <charset val="1"/>
      </rPr>
      <t xml:space="preserve">:</t>
    </r>
    <r>
      <rPr>
        <sz val="9"/>
        <color rgb="FF000000"/>
        <rFont val="Noto Sans CJK SC"/>
        <family val="2"/>
      </rPr>
      <t xml:space="preserve">上限超過ファイル</t>
    </r>
  </si>
  <si>
    <t xml:space="preserve">上限超過の添付を付けて作成を実行</t>
  </si>
  <si>
    <t xml:space="preserve">作成されずまたは添付が拒否されエラーが表示される</t>
  </si>
  <si>
    <t xml:space="preserve">RQ-008;RQ-010</t>
  </si>
  <si>
    <r>
      <rPr>
        <sz val="9"/>
        <color rgb="FF000000"/>
        <rFont val="Noto Sans CJK SC"/>
        <family val="2"/>
      </rPr>
      <t xml:space="preserve">手動専用（添付サイズ・</t>
    </r>
    <r>
      <rPr>
        <sz val="9"/>
        <color rgb="FF000000"/>
        <rFont val="Meiryo"/>
        <family val="0"/>
        <charset val="1"/>
      </rPr>
      <t xml:space="preserve">80§9</t>
    </r>
    <r>
      <rPr>
        <sz val="9"/>
        <color rgb="FF000000"/>
        <rFont val="Noto Sans CJK SC"/>
        <family val="2"/>
      </rPr>
      <t xml:space="preserve">で</t>
    </r>
    <r>
      <rPr>
        <sz val="9"/>
        <color rgb="FF000000"/>
        <rFont val="Meiryo"/>
        <family val="0"/>
        <charset val="1"/>
      </rPr>
      <t xml:space="preserve">API</t>
    </r>
    <r>
      <rPr>
        <sz val="9"/>
        <color rgb="FF000000"/>
        <rFont val="Noto Sans CJK SC"/>
        <family val="2"/>
      </rPr>
      <t xml:space="preserve">対象外）</t>
    </r>
  </si>
  <si>
    <t xml:space="preserve">TR-0040</t>
  </si>
  <si>
    <t xml:space="preserve">TC-039</t>
  </si>
  <si>
    <t xml:space="preserve">バリデーション：許可拡張子</t>
  </si>
  <si>
    <t xml:space="preserve">許可形式以外の添付は拒否される</t>
  </si>
  <si>
    <r>
      <rPr>
        <sz val="9"/>
        <color rgb="FF000000"/>
        <rFont val="Noto Sans CJK SC"/>
        <family val="2"/>
      </rPr>
      <t xml:space="preserve">依頼者でログイン済み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添付</t>
    </r>
    <r>
      <rPr>
        <sz val="9"/>
        <color rgb="FF000000"/>
        <rFont val="Meiryo"/>
        <family val="0"/>
        <charset val="1"/>
      </rPr>
      <t xml:space="preserve">:</t>
    </r>
    <r>
      <rPr>
        <sz val="9"/>
        <color rgb="FF000000"/>
        <rFont val="Noto Sans CJK SC"/>
        <family val="2"/>
      </rPr>
      <t xml:space="preserve">不許可形式</t>
    </r>
  </si>
  <si>
    <t xml:space="preserve">不許可形式の添付を付けて作成を実行</t>
  </si>
  <si>
    <t xml:space="preserve">添付が拒否される または安全に無効化される</t>
  </si>
  <si>
    <t xml:space="preserve">RQ-009</t>
  </si>
  <si>
    <r>
      <rPr>
        <sz val="9"/>
        <color rgb="FF000000"/>
        <rFont val="Noto Sans CJK SC"/>
        <family val="2"/>
      </rPr>
      <t xml:space="preserve">手動専用（添付拡張子・</t>
    </r>
    <r>
      <rPr>
        <sz val="9"/>
        <color rgb="FF000000"/>
        <rFont val="Meiryo"/>
        <family val="0"/>
        <charset val="1"/>
      </rPr>
      <t xml:space="preserve">80§9</t>
    </r>
    <r>
      <rPr>
        <sz val="9"/>
        <color rgb="FF000000"/>
        <rFont val="Noto Sans CJK SC"/>
        <family val="2"/>
      </rPr>
      <t xml:space="preserve">で</t>
    </r>
    <r>
      <rPr>
        <sz val="9"/>
        <color rgb="FF000000"/>
        <rFont val="Meiryo"/>
        <family val="0"/>
        <charset val="1"/>
      </rPr>
      <t xml:space="preserve">API</t>
    </r>
    <r>
      <rPr>
        <sz val="9"/>
        <color rgb="FF000000"/>
        <rFont val="Noto Sans CJK SC"/>
        <family val="2"/>
      </rPr>
      <t xml:space="preserve">対象外）</t>
    </r>
  </si>
  <si>
    <t xml:space="preserve">TR-0041</t>
  </si>
  <si>
    <t xml:space="preserve">TC-040</t>
  </si>
  <si>
    <t xml:space="preserve">チケット検索</t>
  </si>
  <si>
    <t xml:space="preserve">検索精度：キーワードマッチ</t>
  </si>
  <si>
    <t xml:space="preserve">キーワード検索が期待どおりに絞り込める</t>
  </si>
  <si>
    <r>
      <rPr>
        <sz val="9"/>
        <color rgb="FF000000"/>
        <rFont val="Noto Sans CJK SC"/>
        <family val="2"/>
      </rPr>
      <t xml:space="preserve">担当者でログイン済み</t>
    </r>
    <r>
      <rPr>
        <sz val="9"/>
        <color rgb="FF000000"/>
        <rFont val="Meiryo"/>
        <family val="0"/>
        <charset val="1"/>
      </rPr>
      <t xml:space="preserve">; </t>
    </r>
    <r>
      <rPr>
        <sz val="9"/>
        <color rgb="FF000000"/>
        <rFont val="Noto Sans CJK SC"/>
        <family val="2"/>
      </rPr>
      <t xml:space="preserve">検索対象チケットが存在する </t>
    </r>
    <r>
      <rPr>
        <sz val="9"/>
        <color rgb="FF000000"/>
        <rFont val="Meiryo"/>
        <family val="0"/>
        <charset val="1"/>
      </rPr>
      <t xml:space="preserve">/ </t>
    </r>
    <r>
      <rPr>
        <sz val="9"/>
        <color rgb="FF000000"/>
        <rFont val="Noto Sans CJK SC"/>
        <family val="2"/>
      </rPr>
      <t xml:space="preserve">担当者</t>
    </r>
    <r>
      <rPr>
        <sz val="9"/>
        <color rgb="FF000000"/>
        <rFont val="Meiryo"/>
        <family val="0"/>
        <charset val="1"/>
      </rPr>
      <t xml:space="preserve">:agent1; </t>
    </r>
    <r>
      <rPr>
        <sz val="9"/>
        <color rgb="FF000000"/>
        <rFont val="Noto Sans CJK SC"/>
        <family val="2"/>
      </rPr>
      <t xml:space="preserve">キーワード</t>
    </r>
    <r>
      <rPr>
        <sz val="9"/>
        <color rgb="FF000000"/>
        <rFont val="Meiryo"/>
        <family val="0"/>
        <charset val="1"/>
      </rPr>
      <t xml:space="preserve">:invoice</t>
    </r>
  </si>
  <si>
    <t xml:space="preserve">キーワードで検索する</t>
  </si>
  <si>
    <t xml:space="preserve">該当チケットのみが表示される</t>
  </si>
  <si>
    <t xml:space="preserve">RQ-018</t>
  </si>
  <si>
    <r>
      <rPr>
        <sz val="9"/>
        <color rgb="FF000000"/>
        <rFont val="Noto Sans CJK SC"/>
        <family val="2"/>
      </rPr>
      <t xml:space="preserve">手動専用（検索キーワード・</t>
    </r>
    <r>
      <rPr>
        <sz val="9"/>
        <color rgb="FF000000"/>
        <rFont val="Meiryo"/>
        <family val="0"/>
        <charset val="1"/>
      </rPr>
      <t xml:space="preserve">runn</t>
    </r>
    <r>
      <rPr>
        <sz val="9"/>
        <color rgb="FF000000"/>
        <rFont val="Noto Sans CJK SC"/>
        <family val="2"/>
      </rPr>
      <t xml:space="preserve">未整備）</t>
    </r>
  </si>
  <si>
    <t xml:space="preserve">TR-0042</t>
  </si>
  <si>
    <t xml:space="preserve">TC-041</t>
  </si>
  <si>
    <t xml:space="preserve">検索精度：フィルタ条件</t>
  </si>
  <si>
    <t xml:space="preserve">状態フィルタが期待どおりに絞り込める</t>
  </si>
  <si>
    <r>
      <rPr>
        <sz val="9"/>
        <color rgb="FF000000"/>
        <rFont val="Noto Sans CJK SC"/>
        <family val="2"/>
      </rPr>
      <t xml:space="preserve">担当者でログイン済み</t>
    </r>
    <r>
      <rPr>
        <sz val="9"/>
        <color rgb="FF000000"/>
        <rFont val="Meiryo"/>
        <family val="0"/>
        <charset val="1"/>
      </rPr>
      <t xml:space="preserve">; </t>
    </r>
    <r>
      <rPr>
        <sz val="9"/>
        <color rgb="FF000000"/>
        <rFont val="Noto Sans CJK SC"/>
        <family val="2"/>
      </rPr>
      <t xml:space="preserve">複数状態のチケットが存在する </t>
    </r>
    <r>
      <rPr>
        <sz val="9"/>
        <color rgb="FF000000"/>
        <rFont val="Meiryo"/>
        <family val="0"/>
        <charset val="1"/>
      </rPr>
      <t xml:space="preserve">/ </t>
    </r>
    <r>
      <rPr>
        <sz val="9"/>
        <color rgb="FF000000"/>
        <rFont val="Noto Sans CJK SC"/>
        <family val="2"/>
      </rPr>
      <t xml:space="preserve">担当者</t>
    </r>
    <r>
      <rPr>
        <sz val="9"/>
        <color rgb="FF000000"/>
        <rFont val="Meiryo"/>
        <family val="0"/>
        <charset val="1"/>
      </rPr>
      <t xml:space="preserve">:agent1</t>
    </r>
  </si>
  <si>
    <r>
      <rPr>
        <sz val="9"/>
        <color rgb="FF000000"/>
        <rFont val="Noto Sans CJK SC"/>
        <family val="2"/>
      </rPr>
      <t xml:space="preserve">状態フィルタを</t>
    </r>
    <r>
      <rPr>
        <sz val="9"/>
        <color rgb="FF000000"/>
        <rFont val="Meiryo"/>
        <family val="0"/>
        <charset val="1"/>
      </rPr>
      <t xml:space="preserve">Pending</t>
    </r>
    <r>
      <rPr>
        <sz val="9"/>
        <color rgb="FF000000"/>
        <rFont val="Noto Sans CJK SC"/>
        <family val="2"/>
      </rPr>
      <t xml:space="preserve">に設定</t>
    </r>
  </si>
  <si>
    <r>
      <rPr>
        <sz val="9"/>
        <color rgb="FF000000"/>
        <rFont val="Meiryo"/>
        <family val="0"/>
        <charset val="1"/>
      </rPr>
      <t xml:space="preserve">Pending</t>
    </r>
    <r>
      <rPr>
        <sz val="9"/>
        <color rgb="FF000000"/>
        <rFont val="Noto Sans CJK SC"/>
        <family val="2"/>
      </rPr>
      <t xml:space="preserve">のチケットのみ表示される</t>
    </r>
  </si>
  <si>
    <t xml:space="preserve">RQ-019</t>
  </si>
  <si>
    <r>
      <rPr>
        <sz val="9"/>
        <color rgb="FF000000"/>
        <rFont val="Noto Sans CJK SC"/>
        <family val="2"/>
      </rPr>
      <t xml:space="preserve">手動専用（状態フィルタ・</t>
    </r>
    <r>
      <rPr>
        <sz val="9"/>
        <color rgb="FF000000"/>
        <rFont val="Meiryo"/>
        <family val="0"/>
        <charset val="1"/>
      </rPr>
      <t xml:space="preserve">runn</t>
    </r>
    <r>
      <rPr>
        <sz val="9"/>
        <color rgb="FF000000"/>
        <rFont val="Noto Sans CJK SC"/>
        <family val="2"/>
      </rPr>
      <t xml:space="preserve">未整備）</t>
    </r>
  </si>
  <si>
    <t xml:space="preserve">TR-0043</t>
  </si>
  <si>
    <t xml:space="preserve">TC-042</t>
  </si>
  <si>
    <t xml:space="preserve">ログイン画面</t>
  </si>
  <si>
    <t xml:space="preserve">認証管理</t>
  </si>
  <si>
    <t xml:space="preserve">認証チェック：未ログインアクセス</t>
  </si>
  <si>
    <t xml:space="preserve">未ログインでチケット一覧にアクセスできない</t>
  </si>
  <si>
    <r>
      <rPr>
        <sz val="9"/>
        <color rgb="FF000000"/>
        <rFont val="Noto Sans CJK SC"/>
        <family val="2"/>
      </rPr>
      <t xml:space="preserve">未ログイン</t>
    </r>
    <r>
      <rPr>
        <sz val="9"/>
        <color rgb="FF000000"/>
        <rFont val="Meiryo"/>
        <family val="0"/>
        <charset val="1"/>
      </rPr>
      <t xml:space="preserve">; </t>
    </r>
    <r>
      <rPr>
        <sz val="9"/>
        <color rgb="FF000000"/>
        <rFont val="Noto Sans CJK SC"/>
        <family val="2"/>
      </rPr>
      <t xml:space="preserve">対象</t>
    </r>
    <r>
      <rPr>
        <sz val="9"/>
        <color rgb="FF000000"/>
        <rFont val="Meiryo"/>
        <family val="0"/>
        <charset val="1"/>
      </rPr>
      <t xml:space="preserve">URL:</t>
    </r>
    <r>
      <rPr>
        <sz val="9"/>
        <color rgb="FF000000"/>
        <rFont val="Noto Sans CJK SC"/>
        <family val="2"/>
      </rPr>
      <t xml:space="preserve">一覧</t>
    </r>
  </si>
  <si>
    <r>
      <rPr>
        <sz val="9"/>
        <color rgb="FF000000"/>
        <rFont val="Noto Sans CJK SC"/>
        <family val="2"/>
      </rPr>
      <t xml:space="preserve">ブラウザで一覧</t>
    </r>
    <r>
      <rPr>
        <sz val="9"/>
        <color rgb="FF000000"/>
        <rFont val="Meiryo"/>
        <family val="0"/>
        <charset val="1"/>
      </rPr>
      <t xml:space="preserve">URL</t>
    </r>
    <r>
      <rPr>
        <sz val="9"/>
        <color rgb="FF000000"/>
        <rFont val="Noto Sans CJK SC"/>
        <family val="2"/>
      </rPr>
      <t xml:space="preserve">を開く</t>
    </r>
  </si>
  <si>
    <r>
      <rPr>
        <sz val="9"/>
        <color rgb="FF000000"/>
        <rFont val="Noto Sans CJK SC"/>
        <family val="2"/>
      </rPr>
      <t xml:space="preserve">ログイン画面へ誘導される（または</t>
    </r>
    <r>
      <rPr>
        <sz val="9"/>
        <color rgb="FF000000"/>
        <rFont val="Meiryo"/>
        <family val="0"/>
        <charset val="1"/>
      </rPr>
      <t xml:space="preserve">403</t>
    </r>
    <r>
      <rPr>
        <sz val="9"/>
        <color rgb="FF000000"/>
        <rFont val="Noto Sans CJK SC"/>
        <family val="2"/>
      </rPr>
      <t xml:space="preserve">など）</t>
    </r>
  </si>
  <si>
    <t xml:space="preserve">RQ-001</t>
  </si>
  <si>
    <r>
      <rPr>
        <sz val="9"/>
        <color rgb="FF000000"/>
        <rFont val="Meiryo"/>
        <family val="0"/>
        <charset val="1"/>
      </rPr>
      <t xml:space="preserve">API-A</t>
    </r>
    <r>
      <rPr>
        <sz val="9"/>
        <color rgb="FF000000"/>
        <rFont val="Noto Sans CJK SC"/>
        <family val="2"/>
      </rPr>
      <t xml:space="preserve">（</t>
    </r>
    <r>
      <rPr>
        <sz val="9"/>
        <color rgb="FF000000"/>
        <rFont val="Meiryo"/>
        <family val="0"/>
        <charset val="1"/>
      </rPr>
      <t xml:space="preserve">unauthenticated</t>
    </r>
    <r>
      <rPr>
        <sz val="9"/>
        <color rgb="FF000000"/>
        <rFont val="Noto Sans CJK SC"/>
        <family val="2"/>
      </rPr>
      <t xml:space="preserve">）</t>
    </r>
  </si>
  <si>
    <t xml:space="preserve">TR-0044</t>
  </si>
  <si>
    <t xml:space="preserve">TC-043</t>
  </si>
  <si>
    <t xml:space="preserve">未ログインでチケット詳細に直接アクセスできない</t>
  </si>
  <si>
    <r>
      <rPr>
        <sz val="9"/>
        <color rgb="FF000000"/>
        <rFont val="Noto Sans CJK SC"/>
        <family val="2"/>
      </rPr>
      <t xml:space="preserve">未ログイン</t>
    </r>
    <r>
      <rPr>
        <sz val="9"/>
        <color rgb="FF000000"/>
        <rFont val="Meiryo"/>
        <family val="0"/>
        <charset val="1"/>
      </rPr>
      <t xml:space="preserve">; </t>
    </r>
    <r>
      <rPr>
        <sz val="9"/>
        <color rgb="FF000000"/>
        <rFont val="Noto Sans CJK SC"/>
        <family val="2"/>
      </rPr>
      <t xml:space="preserve">対象</t>
    </r>
    <r>
      <rPr>
        <sz val="9"/>
        <color rgb="FF000000"/>
        <rFont val="Meiryo"/>
        <family val="0"/>
        <charset val="1"/>
      </rPr>
      <t xml:space="preserve">URL:</t>
    </r>
    <r>
      <rPr>
        <sz val="9"/>
        <color rgb="FF000000"/>
        <rFont val="Noto Sans CJK SC"/>
        <family val="2"/>
      </rPr>
      <t xml:space="preserve">詳細</t>
    </r>
  </si>
  <si>
    <r>
      <rPr>
        <sz val="9"/>
        <color rgb="FF000000"/>
        <rFont val="Noto Sans CJK SC"/>
        <family val="2"/>
      </rPr>
      <t xml:space="preserve">チケット詳細</t>
    </r>
    <r>
      <rPr>
        <sz val="9"/>
        <color rgb="FF000000"/>
        <rFont val="Meiryo"/>
        <family val="0"/>
        <charset val="1"/>
      </rPr>
      <t xml:space="preserve">URL</t>
    </r>
    <r>
      <rPr>
        <sz val="9"/>
        <color rgb="FF000000"/>
        <rFont val="Noto Sans CJK SC"/>
        <family val="2"/>
      </rPr>
      <t xml:space="preserve">を直接開く</t>
    </r>
  </si>
  <si>
    <t xml:space="preserve">TR-0045</t>
  </si>
  <si>
    <t xml:space="preserve">TC-044</t>
  </si>
  <si>
    <t xml:space="preserve">未ログインでチケット作成にアクセスできない</t>
  </si>
  <si>
    <r>
      <rPr>
        <sz val="9"/>
        <color rgb="FF000000"/>
        <rFont val="Noto Sans CJK SC"/>
        <family val="2"/>
      </rPr>
      <t xml:space="preserve">未ログイン</t>
    </r>
    <r>
      <rPr>
        <sz val="9"/>
        <color rgb="FF000000"/>
        <rFont val="Meiryo"/>
        <family val="0"/>
        <charset val="1"/>
      </rPr>
      <t xml:space="preserve">; </t>
    </r>
    <r>
      <rPr>
        <sz val="9"/>
        <color rgb="FF000000"/>
        <rFont val="Noto Sans CJK SC"/>
        <family val="2"/>
      </rPr>
      <t xml:space="preserve">対象</t>
    </r>
    <r>
      <rPr>
        <sz val="9"/>
        <color rgb="FF000000"/>
        <rFont val="Meiryo"/>
        <family val="0"/>
        <charset val="1"/>
      </rPr>
      <t xml:space="preserve">URL:</t>
    </r>
    <r>
      <rPr>
        <sz val="9"/>
        <color rgb="FF000000"/>
        <rFont val="Noto Sans CJK SC"/>
        <family val="2"/>
      </rPr>
      <t xml:space="preserve">作成</t>
    </r>
  </si>
  <si>
    <r>
      <rPr>
        <sz val="9"/>
        <color rgb="FF000000"/>
        <rFont val="Noto Sans CJK SC"/>
        <family val="2"/>
      </rPr>
      <t xml:space="preserve">チケット作成</t>
    </r>
    <r>
      <rPr>
        <sz val="9"/>
        <color rgb="FF000000"/>
        <rFont val="Meiryo"/>
        <family val="0"/>
        <charset val="1"/>
      </rPr>
      <t xml:space="preserve">URL</t>
    </r>
    <r>
      <rPr>
        <sz val="9"/>
        <color rgb="FF000000"/>
        <rFont val="Noto Sans CJK SC"/>
        <family val="2"/>
      </rPr>
      <t xml:space="preserve">を開く</t>
    </r>
  </si>
  <si>
    <t xml:space="preserve">TR-0046</t>
  </si>
  <si>
    <t xml:space="preserve">TC-045</t>
  </si>
  <si>
    <t xml:space="preserve">本文最大長ちょうどは受理される</t>
  </si>
  <si>
    <r>
      <rPr>
        <sz val="9"/>
        <color rgb="FF000000"/>
        <rFont val="Noto Sans CJK SC"/>
        <family val="2"/>
      </rPr>
      <t xml:space="preserve">依頼者でログイン済み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タイトル</t>
    </r>
    <r>
      <rPr>
        <sz val="9"/>
        <color rgb="FF000000"/>
        <rFont val="Meiryo"/>
        <family val="0"/>
        <charset val="1"/>
      </rPr>
      <t xml:space="preserve">:</t>
    </r>
    <r>
      <rPr>
        <sz val="9"/>
        <color rgb="FF000000"/>
        <rFont val="Noto Sans CJK SC"/>
        <family val="2"/>
      </rPr>
      <t xml:space="preserve">有効</t>
    </r>
    <r>
      <rPr>
        <sz val="9"/>
        <color rgb="FF000000"/>
        <rFont val="Meiryo"/>
        <family val="0"/>
        <charset val="1"/>
      </rPr>
      <t xml:space="preserve">; </t>
    </r>
    <r>
      <rPr>
        <sz val="9"/>
        <color rgb="FF000000"/>
        <rFont val="Noto Sans CJK SC"/>
        <family val="2"/>
      </rPr>
      <t xml:space="preserve">本文</t>
    </r>
    <r>
      <rPr>
        <sz val="9"/>
        <color rgb="FF000000"/>
        <rFont val="Meiryo"/>
        <family val="0"/>
        <charset val="1"/>
      </rPr>
      <t xml:space="preserve">:4000</t>
    </r>
    <r>
      <rPr>
        <sz val="9"/>
        <color rgb="FF000000"/>
        <rFont val="Noto Sans CJK SC"/>
        <family val="2"/>
      </rPr>
      <t xml:space="preserve">文字ちょうど</t>
    </r>
  </si>
  <si>
    <r>
      <rPr>
        <sz val="9"/>
        <color rgb="FF000000"/>
        <rFont val="Meiryo"/>
        <family val="0"/>
        <charset val="1"/>
      </rPr>
      <t xml:space="preserve">4000</t>
    </r>
    <r>
      <rPr>
        <sz val="9"/>
        <color rgb="FF000000"/>
        <rFont val="Noto Sans CJK SC"/>
        <family val="2"/>
      </rPr>
      <t xml:space="preserve">文字ちょうどの本文で作成を実行</t>
    </r>
  </si>
  <si>
    <t xml:space="preserve">RQ-004</t>
  </si>
  <si>
    <t xml:space="preserve">—</t>
  </si>
  <si>
    <r>
      <rPr>
        <sz val="9"/>
        <color rgb="FF000000"/>
        <rFont val="Noto Sans CJK SC"/>
        <family val="2"/>
      </rPr>
      <t xml:space="preserve">手動実行記録なし。本文境界は自動テスト層</t>
    </r>
    <r>
      <rPr>
        <sz val="9"/>
        <color rgb="FF000000"/>
        <rFont val="Meiryo"/>
        <family val="0"/>
        <charset val="1"/>
      </rPr>
      <t xml:space="preserve">(runn API-C / title_body_boundary)</t>
    </r>
    <r>
      <rPr>
        <sz val="9"/>
        <color rgb="FF000000"/>
        <rFont val="Noto Sans CJK SC"/>
        <family val="2"/>
      </rPr>
      <t xml:space="preserve">で検証</t>
    </r>
  </si>
  <si>
    <t xml:space="preserve">TC-046</t>
  </si>
  <si>
    <r>
      <rPr>
        <sz val="9"/>
        <color rgb="FF000000"/>
        <rFont val="Noto Sans CJK SC"/>
        <family val="2"/>
      </rPr>
      <t xml:space="preserve">本文最大長</t>
    </r>
    <r>
      <rPr>
        <sz val="9"/>
        <color rgb="FF000000"/>
        <rFont val="Meiryo"/>
        <family val="0"/>
        <charset val="1"/>
      </rPr>
      <t xml:space="preserve">+1</t>
    </r>
    <r>
      <rPr>
        <sz val="9"/>
        <color rgb="FF000000"/>
        <rFont val="Noto Sans CJK SC"/>
        <family val="2"/>
      </rPr>
      <t xml:space="preserve">は拒否される</t>
    </r>
  </si>
  <si>
    <r>
      <rPr>
        <sz val="9"/>
        <color rgb="FF000000"/>
        <rFont val="Noto Sans CJK SC"/>
        <family val="2"/>
      </rPr>
      <t xml:space="preserve">依頼者でログイン済み </t>
    </r>
    <r>
      <rPr>
        <sz val="9"/>
        <color rgb="FF000000"/>
        <rFont val="Meiryo"/>
        <family val="0"/>
        <charset val="1"/>
      </rPr>
      <t xml:space="preserve">/ </t>
    </r>
    <r>
      <rPr>
        <sz val="9"/>
        <color rgb="FF000000"/>
        <rFont val="Noto Sans CJK SC"/>
        <family val="2"/>
      </rPr>
      <t xml:space="preserve">依頼者</t>
    </r>
    <r>
      <rPr>
        <sz val="9"/>
        <color rgb="FF000000"/>
        <rFont val="Meiryo"/>
        <family val="0"/>
        <charset val="1"/>
      </rPr>
      <t xml:space="preserve">:requester1; </t>
    </r>
    <r>
      <rPr>
        <sz val="9"/>
        <color rgb="FF000000"/>
        <rFont val="Noto Sans CJK SC"/>
        <family val="2"/>
      </rPr>
      <t xml:space="preserve">タイトル</t>
    </r>
    <r>
      <rPr>
        <sz val="9"/>
        <color rgb="FF000000"/>
        <rFont val="Meiryo"/>
        <family val="0"/>
        <charset val="1"/>
      </rPr>
      <t xml:space="preserve">:</t>
    </r>
    <r>
      <rPr>
        <sz val="9"/>
        <color rgb="FF000000"/>
        <rFont val="Noto Sans CJK SC"/>
        <family val="2"/>
      </rPr>
      <t xml:space="preserve">有効</t>
    </r>
    <r>
      <rPr>
        <sz val="9"/>
        <color rgb="FF000000"/>
        <rFont val="Meiryo"/>
        <family val="0"/>
        <charset val="1"/>
      </rPr>
      <t xml:space="preserve">; </t>
    </r>
    <r>
      <rPr>
        <sz val="9"/>
        <color rgb="FF000000"/>
        <rFont val="Noto Sans CJK SC"/>
        <family val="2"/>
      </rPr>
      <t xml:space="preserve">本文</t>
    </r>
    <r>
      <rPr>
        <sz val="9"/>
        <color rgb="FF000000"/>
        <rFont val="Meiryo"/>
        <family val="0"/>
        <charset val="1"/>
      </rPr>
      <t xml:space="preserve">:4001</t>
    </r>
    <r>
      <rPr>
        <sz val="9"/>
        <color rgb="FF000000"/>
        <rFont val="Noto Sans CJK SC"/>
        <family val="2"/>
      </rPr>
      <t xml:space="preserve">文字</t>
    </r>
  </si>
  <si>
    <r>
      <rPr>
        <sz val="9"/>
        <color rgb="FF000000"/>
        <rFont val="Meiryo"/>
        <family val="0"/>
        <charset val="1"/>
      </rPr>
      <t xml:space="preserve">4001</t>
    </r>
    <r>
      <rPr>
        <sz val="9"/>
        <color rgb="FF000000"/>
        <rFont val="Noto Sans CJK SC"/>
        <family val="2"/>
      </rPr>
      <t xml:space="preserve">文字の本文で作成を実行</t>
    </r>
  </si>
  <si>
    <t xml:space="preserve">作成されず文字数エラーが表示される</t>
  </si>
  <si>
    <t xml:space="preserve">DEFECT-002</t>
  </si>
  <si>
    <r>
      <rPr>
        <sz val="9"/>
        <color rgb="FF000000"/>
        <rFont val="Meiryo"/>
        <family val="0"/>
        <charset val="1"/>
      </rPr>
      <t xml:space="preserve">Auto-03</t>
    </r>
    <r>
      <rPr>
        <sz val="9"/>
        <color rgb="FF000000"/>
        <rFont val="Noto Sans CJK SC"/>
        <family val="2"/>
      </rPr>
      <t xml:space="preserve">として自動化（</t>
    </r>
    <r>
      <rPr>
        <sz val="9"/>
        <color rgb="FF000000"/>
        <rFont val="Meiryo"/>
        <family val="0"/>
        <charset val="1"/>
      </rPr>
      <t xml:space="preserve">v1.1</t>
    </r>
    <r>
      <rPr>
        <sz val="9"/>
        <color rgb="FF000000"/>
        <rFont val="Noto Sans CJK SC"/>
        <family val="2"/>
      </rPr>
      <t xml:space="preserve">）→ </t>
    </r>
    <r>
      <rPr>
        <sz val="9"/>
        <color rgb="FF000000"/>
        <rFont val="Meiryo"/>
        <family val="0"/>
        <charset val="1"/>
      </rPr>
      <t xml:space="preserve">v1.2</t>
    </r>
    <r>
      <rPr>
        <sz val="9"/>
        <color rgb="FF000000"/>
        <rFont val="Noto Sans CJK SC"/>
        <family val="2"/>
      </rPr>
      <t xml:space="preserve">で</t>
    </r>
    <r>
      <rPr>
        <sz val="9"/>
        <color rgb="FF000000"/>
        <rFont val="Meiryo"/>
        <family val="0"/>
        <charset val="1"/>
      </rPr>
      <t xml:space="preserve">API</t>
    </r>
    <r>
      <rPr>
        <sz val="9"/>
        <color rgb="FF000000"/>
        <rFont val="Noto Sans CJK SC"/>
        <family val="2"/>
      </rPr>
      <t xml:space="preserve">層へ移設し削除（</t>
    </r>
    <r>
      <rPr>
        <sz val="9"/>
        <color rgb="FF000000"/>
        <rFont val="Meiryo"/>
        <family val="0"/>
        <charset val="1"/>
      </rPr>
      <t xml:space="preserve">API-C / title_body_boundary.yml </t>
    </r>
    <r>
      <rPr>
        <sz val="9"/>
        <color rgb="FF000000"/>
        <rFont val="Noto Sans CJK SC"/>
        <family val="2"/>
      </rPr>
      <t xml:space="preserve">に置換）。</t>
    </r>
    <r>
      <rPr>
        <sz val="9"/>
        <color rgb="FF000000"/>
        <rFont val="Meiryo"/>
        <family val="0"/>
        <charset val="1"/>
      </rPr>
      <t xml:space="preserve">DEFECT-002</t>
    </r>
    <r>
      <rPr>
        <sz val="9"/>
        <color rgb="FF000000"/>
        <rFont val="Noto Sans CJK SC"/>
        <family val="2"/>
      </rPr>
      <t xml:space="preserve">（</t>
    </r>
    <r>
      <rPr>
        <sz val="9"/>
        <color rgb="FF000000"/>
        <rFont val="Meiryo"/>
        <family val="0"/>
        <charset val="1"/>
      </rPr>
      <t xml:space="preserve">body max_length</t>
    </r>
    <r>
      <rPr>
        <sz val="9"/>
        <color rgb="FF000000"/>
        <rFont val="Noto Sans CJK SC"/>
        <family val="2"/>
      </rPr>
      <t xml:space="preserve">未実装）の起票・修正・回帰の起点。 </t>
    </r>
    <r>
      <rPr>
        <sz val="9"/>
        <color rgb="FF000000"/>
        <rFont val="Meiryo"/>
        <family val="0"/>
        <charset val="1"/>
      </rPr>
      <t xml:space="preserve">/ </t>
    </r>
    <r>
      <rPr>
        <sz val="9"/>
        <color rgb="FF000000"/>
        <rFont val="Noto Sans CJK SC"/>
        <family val="2"/>
      </rPr>
      <t xml:space="preserve">手動実行記録なし。</t>
    </r>
    <r>
      <rPr>
        <sz val="9"/>
        <color rgb="FF000000"/>
        <rFont val="Meiryo"/>
        <family val="0"/>
        <charset val="1"/>
      </rPr>
      <t xml:space="preserve">Auto-03→runn API-C </t>
    </r>
    <r>
      <rPr>
        <sz val="9"/>
        <color rgb="FF000000"/>
        <rFont val="Noto Sans CJK SC"/>
        <family val="2"/>
      </rPr>
      <t xml:space="preserve">で検証。</t>
    </r>
    <r>
      <rPr>
        <sz val="9"/>
        <color rgb="FF000000"/>
        <rFont val="Meiryo"/>
        <family val="0"/>
        <charset val="1"/>
      </rPr>
      <t xml:space="preserve">DEFECT-002(body</t>
    </r>
    <r>
      <rPr>
        <sz val="9"/>
        <color rgb="FF000000"/>
        <rFont val="Noto Sans CJK SC"/>
        <family val="2"/>
      </rPr>
      <t xml:space="preserve">最大長未実装</t>
    </r>
    <r>
      <rPr>
        <sz val="9"/>
        <color rgb="FF000000"/>
        <rFont val="Meiryo"/>
        <family val="0"/>
        <charset val="1"/>
      </rPr>
      <t xml:space="preserve">)</t>
    </r>
    <r>
      <rPr>
        <sz val="9"/>
        <color rgb="FF000000"/>
        <rFont val="Noto Sans CJK SC"/>
        <family val="2"/>
      </rPr>
      <t xml:space="preserve">の起点</t>
    </r>
  </si>
  <si>
    <t xml:space="preserve">TR-ID</t>
  </si>
  <si>
    <t xml:space="preserve">実行日時</t>
  </si>
  <si>
    <t xml:space="preserve">実行者</t>
  </si>
  <si>
    <t xml:space="preserve">実行環境</t>
  </si>
  <si>
    <t xml:space="preserve">ビルド</t>
  </si>
  <si>
    <t xml:space="preserve">種別</t>
  </si>
  <si>
    <t xml:space="preserve">TC</t>
  </si>
  <si>
    <t xml:space="preserve">結果</t>
  </si>
  <si>
    <t xml:space="preserve">証跡</t>
  </si>
  <si>
    <r>
      <rPr>
        <b val="true"/>
        <sz val="10"/>
        <color rgb="FFFFFFFF"/>
        <rFont val="Noto Sans CJK SC"/>
        <family val="2"/>
      </rPr>
      <t xml:space="preserve">欠陥</t>
    </r>
    <r>
      <rPr>
        <b val="true"/>
        <sz val="10"/>
        <color rgb="FFFFFFFF"/>
        <rFont val="Meiryo"/>
        <family val="0"/>
        <charset val="1"/>
      </rPr>
      <t xml:space="preserve">ID</t>
    </r>
  </si>
  <si>
    <t xml:space="preserve">TR-0001</t>
  </si>
  <si>
    <t xml:space="preserve">2026/01/13 15:34:00</t>
  </si>
  <si>
    <t xml:space="preserve">Win11/Chrome</t>
  </si>
  <si>
    <t xml:space="preserve">app-defect-idor</t>
  </si>
  <si>
    <t xml:space="preserve">新規</t>
  </si>
  <si>
    <t xml:space="preserve">不合格</t>
  </si>
  <si>
    <t xml:space="preserve">TR-0001.png</t>
  </si>
  <si>
    <r>
      <rPr>
        <sz val="9"/>
        <color rgb="FF000000"/>
        <rFont val="Meiryo"/>
        <family val="0"/>
        <charset val="1"/>
      </rPr>
      <t xml:space="preserve">Requester</t>
    </r>
    <r>
      <rPr>
        <sz val="9"/>
        <color rgb="FF000000"/>
        <rFont val="Noto Sans CJK SC"/>
        <family val="2"/>
      </rPr>
      <t xml:space="preserve">が他人チケット詳細を閲覧できた</t>
    </r>
    <r>
      <rPr>
        <sz val="9"/>
        <color rgb="FF000000"/>
        <rFont val="Meiryo"/>
        <family val="0"/>
        <charset val="1"/>
      </rPr>
      <t xml:space="preserve">(IDOR=ON)</t>
    </r>
  </si>
  <si>
    <t xml:space="preserve">TR-0002</t>
  </si>
  <si>
    <t xml:space="preserve">2026/01/13 15:42:00</t>
  </si>
  <si>
    <t xml:space="preserve">TR-0002.png</t>
  </si>
  <si>
    <r>
      <rPr>
        <sz val="9"/>
        <color rgb="FF000000"/>
        <rFont val="Meiryo"/>
        <family val="0"/>
        <charset val="1"/>
      </rPr>
      <t xml:space="preserve">URL</t>
    </r>
    <r>
      <rPr>
        <sz val="9"/>
        <color rgb="FF000000"/>
        <rFont val="Noto Sans CJK SC"/>
        <family val="2"/>
      </rPr>
      <t xml:space="preserve">内</t>
    </r>
    <r>
      <rPr>
        <sz val="9"/>
        <color rgb="FF000000"/>
        <rFont val="Meiryo"/>
        <family val="0"/>
        <charset val="1"/>
      </rPr>
      <t xml:space="preserve">ID</t>
    </r>
    <r>
      <rPr>
        <sz val="9"/>
        <color rgb="FF000000"/>
        <rFont val="Noto Sans CJK SC"/>
        <family val="2"/>
      </rPr>
      <t xml:space="preserve">を書き換えて他人チケット詳細が表示された</t>
    </r>
    <r>
      <rPr>
        <sz val="9"/>
        <color rgb="FF000000"/>
        <rFont val="Meiryo"/>
        <family val="0"/>
        <charset val="1"/>
      </rPr>
      <t xml:space="preserve">(IDOR=ON)</t>
    </r>
  </si>
  <si>
    <t xml:space="preserve">2026/01/19 10:18:00</t>
  </si>
  <si>
    <t xml:space="preserve">app-v0.3</t>
  </si>
  <si>
    <t xml:space="preserve">TR-0003.png</t>
  </si>
  <si>
    <r>
      <rPr>
        <sz val="9"/>
        <color rgb="FF000000"/>
        <rFont val="Noto Sans CJK SC"/>
        <family val="2"/>
      </rPr>
      <t xml:space="preserve">修正版で</t>
    </r>
    <r>
      <rPr>
        <sz val="9"/>
        <color rgb="FF000000"/>
        <rFont val="Meiryo"/>
        <family val="0"/>
        <charset val="1"/>
      </rPr>
      <t xml:space="preserve">forbidden</t>
    </r>
    <r>
      <rPr>
        <sz val="9"/>
        <color rgb="FF000000"/>
        <rFont val="Noto Sans CJK SC"/>
        <family val="2"/>
      </rPr>
      <t xml:space="preserve">表示され他人チケット詳細の閲覧不可を確認</t>
    </r>
    <r>
      <rPr>
        <sz val="9"/>
        <color rgb="FF000000"/>
        <rFont val="Meiryo"/>
        <family val="0"/>
        <charset val="1"/>
      </rPr>
      <t xml:space="preserve">(IDOR=OFF)</t>
    </r>
  </si>
  <si>
    <t xml:space="preserve">2026/01/19 10:23:00</t>
  </si>
  <si>
    <t xml:space="preserve">TR-0004.png</t>
  </si>
  <si>
    <r>
      <rPr>
        <sz val="9"/>
        <color rgb="FF000000"/>
        <rFont val="Meiryo"/>
        <family val="0"/>
        <charset val="1"/>
      </rPr>
      <t xml:space="preserve">URL</t>
    </r>
    <r>
      <rPr>
        <sz val="9"/>
        <color rgb="FF000000"/>
        <rFont val="Noto Sans CJK SC"/>
        <family val="2"/>
      </rPr>
      <t xml:space="preserve">の</t>
    </r>
    <r>
      <rPr>
        <sz val="9"/>
        <color rgb="FF000000"/>
        <rFont val="Meiryo"/>
        <family val="0"/>
        <charset val="1"/>
      </rPr>
      <t xml:space="preserve">ID</t>
    </r>
    <r>
      <rPr>
        <sz val="9"/>
        <color rgb="FF000000"/>
        <rFont val="Noto Sans CJK SC"/>
        <family val="2"/>
      </rPr>
      <t xml:space="preserve">改変でも</t>
    </r>
    <r>
      <rPr>
        <sz val="9"/>
        <color rgb="FF000000"/>
        <rFont val="Meiryo"/>
        <family val="0"/>
        <charset val="1"/>
      </rPr>
      <t xml:space="preserve">forbidden</t>
    </r>
    <r>
      <rPr>
        <sz val="9"/>
        <color rgb="FF000000"/>
        <rFont val="Noto Sans CJK SC"/>
        <family val="2"/>
      </rPr>
      <t xml:space="preserve">表示を確認</t>
    </r>
    <r>
      <rPr>
        <sz val="9"/>
        <color rgb="FF000000"/>
        <rFont val="Meiryo"/>
        <family val="0"/>
        <charset val="1"/>
      </rPr>
      <t xml:space="preserve">(IDOR=OFF)</t>
    </r>
  </si>
  <si>
    <t xml:space="preserve">2026/02/05 9:52:00</t>
  </si>
  <si>
    <t xml:space="preserve">TR-0005.png</t>
  </si>
  <si>
    <t xml:space="preserve">2026/02/05 10:32:00</t>
  </si>
  <si>
    <t xml:space="preserve">TR-0006.png</t>
  </si>
  <si>
    <t xml:space="preserve">2026/02/05 10:37:00</t>
  </si>
  <si>
    <t xml:space="preserve">TR-0007.png</t>
  </si>
  <si>
    <t xml:space="preserve">2026/02/06 8:21:00</t>
  </si>
  <si>
    <t xml:space="preserve">TR-0008.png</t>
  </si>
  <si>
    <t xml:space="preserve">2026/02/07 8:26:00</t>
  </si>
  <si>
    <t xml:space="preserve">TR-0009.png</t>
  </si>
  <si>
    <t xml:space="preserve">2026/02/07 8:29:00</t>
  </si>
  <si>
    <t xml:space="preserve">TR-0010.png</t>
  </si>
  <si>
    <t xml:space="preserve">2026/02/07 8:31:00</t>
  </si>
  <si>
    <t xml:space="preserve">TR-0011.png</t>
  </si>
  <si>
    <t xml:space="preserve">2026/02/08 19:53:00</t>
  </si>
  <si>
    <t xml:space="preserve">TR-0012.png</t>
  </si>
  <si>
    <t xml:space="preserve">2026/02/08 20:20:00</t>
  </si>
  <si>
    <t xml:space="preserve">TR-0013_01.png; TR-0013_02.png; TR-0013_03.png</t>
  </si>
  <si>
    <t xml:space="preserve">2026/02/09 18:00:00</t>
  </si>
  <si>
    <t xml:space="preserve">TR-0014.png</t>
  </si>
  <si>
    <t xml:space="preserve">2026/02/09 20:26:00</t>
  </si>
  <si>
    <t xml:space="preserve">TR-0015_01.png; TR-0015_02.png; TR-0015_03.png</t>
  </si>
  <si>
    <t xml:space="preserve">2026/02/09 21:31:00</t>
  </si>
  <si>
    <t xml:space="preserve">TR-0016.png</t>
  </si>
  <si>
    <t xml:space="preserve">2026/02/09 21:41:00</t>
  </si>
  <si>
    <t xml:space="preserve">TR-0017.png</t>
  </si>
  <si>
    <t xml:space="preserve">2026/02/11 9:24:00</t>
  </si>
  <si>
    <t xml:space="preserve">TR-0018.png</t>
  </si>
  <si>
    <t xml:space="preserve">2026/02/11 9:34:00</t>
  </si>
  <si>
    <t xml:space="preserve">TR-0019.png</t>
  </si>
  <si>
    <t xml:space="preserve">2026/02/11 12:40:00</t>
  </si>
  <si>
    <t xml:space="preserve">app-v0.3.1</t>
  </si>
  <si>
    <t xml:space="preserve">TR-0020.png</t>
  </si>
  <si>
    <t xml:space="preserve">2026/02/11 19:32:00</t>
  </si>
  <si>
    <t xml:space="preserve">TR-0021.png</t>
  </si>
  <si>
    <t xml:space="preserve">2026/02/11 19:33:00</t>
  </si>
  <si>
    <t xml:space="preserve">TR-0022.png</t>
  </si>
  <si>
    <t xml:space="preserve">2026/02/11 19:34:00</t>
  </si>
  <si>
    <t xml:space="preserve">TR-0023.png</t>
  </si>
  <si>
    <t xml:space="preserve">2026/02/11 22:04:00</t>
  </si>
  <si>
    <t xml:space="preserve">TR-0024_01.png; TR-0024_02.png; TR-0024_03.png</t>
  </si>
  <si>
    <t xml:space="preserve">2026/02/11 22:12:00</t>
  </si>
  <si>
    <t xml:space="preserve">TR-0025_01.png; TR-0025_02.png</t>
  </si>
  <si>
    <t xml:space="preserve">2026/02/11 22:15:00</t>
  </si>
  <si>
    <t xml:space="preserve">TR-0026.png</t>
  </si>
  <si>
    <t xml:space="preserve">2026/02/11 22:18:00</t>
  </si>
  <si>
    <t xml:space="preserve">TR-0027_01.png; TR-0027_02.png</t>
  </si>
  <si>
    <t xml:space="preserve">2026/02/11 22:20:00</t>
  </si>
  <si>
    <t xml:space="preserve">TR-0028.png</t>
  </si>
  <si>
    <t xml:space="preserve">2026/02/11 22:24:00</t>
  </si>
  <si>
    <t xml:space="preserve">TR-0029_01.png; TR-0029_02.png</t>
  </si>
  <si>
    <t xml:space="preserve">2026/02/11 22:25:00</t>
  </si>
  <si>
    <t xml:space="preserve">TR-0030.png</t>
  </si>
  <si>
    <t xml:space="preserve">2026/02/11 23:45:00</t>
  </si>
  <si>
    <t xml:space="preserve">TR-0031.png</t>
  </si>
  <si>
    <t xml:space="preserve">2026/02/11 23:49:00</t>
  </si>
  <si>
    <t xml:space="preserve">TR-0032_01.png; TR-0032_02.png</t>
  </si>
  <si>
    <t xml:space="preserve">2026/02/11 23:52:00</t>
  </si>
  <si>
    <t xml:space="preserve">TR-0033.png</t>
  </si>
  <si>
    <t xml:space="preserve">2026/02/11 23:56:00</t>
  </si>
  <si>
    <t xml:space="preserve">TR-0034.png</t>
  </si>
  <si>
    <t xml:space="preserve">2026/02/12 0:00:00</t>
  </si>
  <si>
    <t xml:space="preserve">TR-0035_01.png; TR-0035_02.png</t>
  </si>
  <si>
    <t xml:space="preserve">2026/02/12 0:04:00</t>
  </si>
  <si>
    <t xml:space="preserve">TR-0036_01.png; TR-0036_02.png</t>
  </si>
  <si>
    <t xml:space="preserve">2026/02/12 0:08:00</t>
  </si>
  <si>
    <t xml:space="preserve">TR-0037.png</t>
  </si>
  <si>
    <t xml:space="preserve">2026/02/12 0:17:00</t>
  </si>
  <si>
    <t xml:space="preserve">TR-0038_01.png; TR-0038_02.png</t>
  </si>
  <si>
    <t xml:space="preserve">2026/02/12 0:26:00</t>
  </si>
  <si>
    <t xml:space="preserve">TR-0039.png</t>
  </si>
  <si>
    <t xml:space="preserve">2026/02/12 0:41:00</t>
  </si>
  <si>
    <t xml:space="preserve">TR-0040_01.png; TR-0040_02.png</t>
  </si>
  <si>
    <t xml:space="preserve">2026/02/12 0:49:00</t>
  </si>
  <si>
    <t xml:space="preserve">TR-0041_01.png; TR-0041_02.png</t>
  </si>
  <si>
    <t xml:space="preserve">2026/02/12 0:51:00</t>
  </si>
  <si>
    <t xml:space="preserve">TR-0042.png</t>
  </si>
  <si>
    <t xml:space="preserve">2026/02/12 0:53:00</t>
  </si>
  <si>
    <t xml:space="preserve">TR-0043.png</t>
  </si>
  <si>
    <t xml:space="preserve">2026/02/12 0:56:00</t>
  </si>
  <si>
    <t xml:space="preserve">TR-0044_01.png; TR-0044_02.png</t>
  </si>
  <si>
    <t xml:space="preserve">2026/02/12 0:58:00</t>
  </si>
  <si>
    <t xml:space="preserve">TR-0045_01.png; TR-0045_02.png</t>
  </si>
  <si>
    <t xml:space="preserve">2026/02/12 1:00:00</t>
  </si>
  <si>
    <t xml:space="preserve">TR-0046_01.png; TR-0046_02.png</t>
  </si>
  <si>
    <r>
      <rPr>
        <b val="true"/>
        <sz val="13"/>
        <color rgb="FFFFFFFF"/>
        <rFont val="Noto Sans CJK SC"/>
        <family val="2"/>
      </rPr>
      <t xml:space="preserve">欠陥一覧（</t>
    </r>
    <r>
      <rPr>
        <b val="true"/>
        <sz val="13"/>
        <color rgb="FFFFFFFF"/>
        <rFont val="Meiryo"/>
        <family val="0"/>
        <charset val="1"/>
      </rPr>
      <t xml:space="preserve">defect_log.csv</t>
    </r>
    <r>
      <rPr>
        <b val="true"/>
        <sz val="13"/>
        <color rgb="FFFFFFFF"/>
        <rFont val="Noto Sans CJK SC"/>
        <family val="2"/>
      </rPr>
      <t xml:space="preserve">）― 検出</t>
    </r>
    <r>
      <rPr>
        <b val="true"/>
        <sz val="13"/>
        <color rgb="FFFFFFFF"/>
        <rFont val="Meiryo"/>
        <family val="0"/>
        <charset val="1"/>
      </rPr>
      <t xml:space="preserve">3</t>
    </r>
    <r>
      <rPr>
        <b val="true"/>
        <sz val="13"/>
        <color rgb="FFFFFFFF"/>
        <rFont val="Noto Sans CJK SC"/>
        <family val="2"/>
      </rPr>
      <t xml:space="preserve">件はすべて起票→修正→回帰まで完了</t>
    </r>
  </si>
  <si>
    <t xml:space="preserve">タイトル</t>
  </si>
  <si>
    <t xml:space="preserve">状態</t>
  </si>
  <si>
    <t xml:space="preserve">重要度</t>
  </si>
  <si>
    <t xml:space="preserve">発見日</t>
  </si>
  <si>
    <r>
      <rPr>
        <b val="true"/>
        <sz val="10"/>
        <color rgb="FFFFFFFF"/>
        <rFont val="Noto Sans CJK SC"/>
        <family val="2"/>
      </rPr>
      <t xml:space="preserve">関連</t>
    </r>
    <r>
      <rPr>
        <b val="true"/>
        <sz val="10"/>
        <color rgb="FFFFFFFF"/>
        <rFont val="Meiryo"/>
        <family val="0"/>
        <charset val="1"/>
      </rPr>
      <t xml:space="preserve">TC</t>
    </r>
  </si>
  <si>
    <t xml:space="preserve">検出経緯・対応</t>
  </si>
  <si>
    <t xml:space="preserve">詳細レポート</t>
  </si>
  <si>
    <r>
      <rPr>
        <sz val="9"/>
        <color rgb="FF000000"/>
        <rFont val="Noto Sans CJK SC"/>
        <family val="2"/>
      </rPr>
      <t xml:space="preserve">依頼者が他人チケット詳細を参照できる（</t>
    </r>
    <r>
      <rPr>
        <sz val="9"/>
        <color rgb="FF000000"/>
        <rFont val="Meiryo"/>
        <family val="0"/>
        <charset val="1"/>
      </rPr>
      <t xml:space="preserve">IDOR</t>
    </r>
    <r>
      <rPr>
        <sz val="9"/>
        <color rgb="FF000000"/>
        <rFont val="Noto Sans CJK SC"/>
        <family val="2"/>
      </rPr>
      <t xml:space="preserve">）</t>
    </r>
  </si>
  <si>
    <t xml:space="preserve">検証済</t>
  </si>
  <si>
    <t xml:space="preserve">Critical</t>
  </si>
  <si>
    <t xml:space="preserve">High</t>
  </si>
  <si>
    <t xml:space="preserve">2026-01-13</t>
  </si>
  <si>
    <t xml:space="preserve">TC-002; TC-003</t>
  </si>
  <si>
    <r>
      <rPr>
        <sz val="9"/>
        <color rgb="FF000000"/>
        <rFont val="Noto Sans CJK SC"/>
        <family val="2"/>
      </rPr>
      <t xml:space="preserve">意図的欠陥ビルド</t>
    </r>
    <r>
      <rPr>
        <sz val="9"/>
        <color rgb="FF000000"/>
        <rFont val="Meiryo"/>
        <family val="0"/>
        <charset val="1"/>
      </rPr>
      <t xml:space="preserve">(IDOR=ON)</t>
    </r>
    <r>
      <rPr>
        <sz val="9"/>
        <color rgb="FF000000"/>
        <rFont val="Noto Sans CJK SC"/>
        <family val="2"/>
      </rPr>
      <t xml:space="preserve">で再現</t>
    </r>
    <r>
      <rPr>
        <sz val="9"/>
        <color rgb="FF000000"/>
        <rFont val="Meiryo"/>
        <family val="0"/>
        <charset val="1"/>
      </rPr>
      <t xml:space="preserve">(TR-0001/0002)→</t>
    </r>
    <r>
      <rPr>
        <sz val="9"/>
        <color rgb="FF000000"/>
        <rFont val="Noto Sans CJK SC"/>
        <family val="2"/>
      </rPr>
      <t xml:space="preserve">修正→回帰合格</t>
    </r>
    <r>
      <rPr>
        <sz val="9"/>
        <color rgb="FF000000"/>
        <rFont val="Meiryo"/>
        <family val="0"/>
        <charset val="1"/>
      </rPr>
      <t xml:space="preserve">(TR-0003/0004)</t>
    </r>
    <r>
      <rPr>
        <sz val="9"/>
        <color rgb="FF000000"/>
        <rFont val="Noto Sans CJK SC"/>
        <family val="2"/>
      </rPr>
      <t xml:space="preserve">。手動テストで検出。</t>
    </r>
  </si>
  <si>
    <t xml:space="preserve">defects/reports/DEFECT-001.md</t>
  </si>
  <si>
    <r>
      <rPr>
        <sz val="9"/>
        <color rgb="FF000000"/>
        <rFont val="Noto Sans CJK SC"/>
        <family val="2"/>
      </rPr>
      <t xml:space="preserve">本文</t>
    </r>
    <r>
      <rPr>
        <sz val="9"/>
        <color rgb="FF000000"/>
        <rFont val="Meiryo"/>
        <family val="0"/>
        <charset val="1"/>
      </rPr>
      <t xml:space="preserve">(body)</t>
    </r>
    <r>
      <rPr>
        <sz val="9"/>
        <color rgb="FF000000"/>
        <rFont val="Noto Sans CJK SC"/>
        <family val="2"/>
      </rPr>
      <t xml:space="preserve">の最大長制約が実装で</t>
    </r>
    <r>
      <rPr>
        <sz val="9"/>
        <color rgb="FF000000"/>
        <rFont val="Meiryo"/>
        <family val="0"/>
        <charset val="1"/>
      </rPr>
      <t xml:space="preserve">enforce</t>
    </r>
    <r>
      <rPr>
        <sz val="9"/>
        <color rgb="FF000000"/>
        <rFont val="Noto Sans CJK SC"/>
        <family val="2"/>
      </rPr>
      <t xml:space="preserve">されていない</t>
    </r>
  </si>
  <si>
    <t xml:space="preserve">2026-05-10</t>
  </si>
  <si>
    <r>
      <rPr>
        <sz val="9"/>
        <color rgb="FF000000"/>
        <rFont val="Noto Sans CJK SC"/>
        <family val="2"/>
      </rPr>
      <t xml:space="preserve">自動化</t>
    </r>
    <r>
      <rPr>
        <sz val="9"/>
        <color rgb="FF000000"/>
        <rFont val="Meiryo"/>
        <family val="0"/>
        <charset val="1"/>
      </rPr>
      <t xml:space="preserve">(Auto-03</t>
    </r>
    <r>
      <rPr>
        <sz val="9"/>
        <color rgb="FF000000"/>
        <rFont val="Noto Sans CJK SC"/>
        <family val="2"/>
      </rPr>
      <t xml:space="preserve">昇格</t>
    </r>
    <r>
      <rPr>
        <sz val="9"/>
        <color rgb="FF000000"/>
        <rFont val="Meiryo"/>
        <family val="0"/>
        <charset val="1"/>
      </rPr>
      <t xml:space="preserve">)</t>
    </r>
    <r>
      <rPr>
        <sz val="9"/>
        <color rgb="FF000000"/>
        <rFont val="Noto Sans CJK SC"/>
        <family val="2"/>
      </rPr>
      <t xml:space="preserve">時に検出。</t>
    </r>
    <r>
      <rPr>
        <sz val="9"/>
        <color rgb="FF000000"/>
        <rFont val="Meiryo"/>
        <family val="0"/>
        <charset val="1"/>
      </rPr>
      <t xml:space="preserve">Django</t>
    </r>
    <r>
      <rPr>
        <sz val="9"/>
        <color rgb="FF000000"/>
        <rFont val="Noto Sans CJK SC"/>
        <family val="2"/>
      </rPr>
      <t xml:space="preserve">の</t>
    </r>
    <r>
      <rPr>
        <sz val="9"/>
        <color rgb="FF000000"/>
        <rFont val="Meiryo"/>
        <family val="0"/>
        <charset val="1"/>
      </rPr>
      <t xml:space="preserve">TextField</t>
    </r>
    <r>
      <rPr>
        <sz val="9"/>
        <color rgb="FF000000"/>
        <rFont val="Noto Sans CJK SC"/>
        <family val="2"/>
      </rPr>
      <t xml:space="preserve">が</t>
    </r>
    <r>
      <rPr>
        <sz val="9"/>
        <color rgb="FF000000"/>
        <rFont val="Meiryo"/>
        <family val="0"/>
        <charset val="1"/>
      </rPr>
      <t xml:space="preserve">max_length</t>
    </r>
    <r>
      <rPr>
        <sz val="9"/>
        <color rgb="FF000000"/>
        <rFont val="Noto Sans CJK SC"/>
        <family val="2"/>
      </rPr>
      <t xml:space="preserve">を</t>
    </r>
    <r>
      <rPr>
        <sz val="9"/>
        <color rgb="FF000000"/>
        <rFont val="Meiryo"/>
        <family val="0"/>
        <charset val="1"/>
      </rPr>
      <t xml:space="preserve">validator</t>
    </r>
    <r>
      <rPr>
        <sz val="9"/>
        <color rgb="FF000000"/>
        <rFont val="Noto Sans CJK SC"/>
        <family val="2"/>
      </rPr>
      <t xml:space="preserve">化しない仕様に起因→</t>
    </r>
    <r>
      <rPr>
        <sz val="9"/>
        <color rgb="FF000000"/>
        <rFont val="Meiryo"/>
        <family val="0"/>
        <charset val="1"/>
      </rPr>
      <t xml:space="preserve">MaxLengthValidator(4000)</t>
    </r>
    <r>
      <rPr>
        <sz val="9"/>
        <color rgb="FF000000"/>
        <rFont val="Noto Sans CJK SC"/>
        <family val="2"/>
      </rPr>
      <t xml:space="preserve">追加で修正→回帰合格。</t>
    </r>
  </si>
  <si>
    <t xml:space="preserve">defects/reports/DEFECT-002.md</t>
  </si>
  <si>
    <r>
      <rPr>
        <sz val="9"/>
        <color rgb="FF000000"/>
        <rFont val="Noto Sans CJK SC"/>
        <family val="2"/>
      </rPr>
      <t xml:space="preserve">期限変更で過去日入力時に</t>
    </r>
    <r>
      <rPr>
        <sz val="9"/>
        <color rgb="FF000000"/>
        <rFont val="Meiryo"/>
        <family val="0"/>
        <charset val="1"/>
      </rPr>
      <t xml:space="preserve">500</t>
    </r>
    <r>
      <rPr>
        <sz val="9"/>
        <color rgb="FF000000"/>
        <rFont val="Noto Sans CJK SC"/>
        <family val="2"/>
      </rPr>
      <t xml:space="preserve">エラー（</t>
    </r>
    <r>
      <rPr>
        <sz val="9"/>
        <color rgb="FF000000"/>
        <rFont val="Meiryo"/>
        <family val="0"/>
        <charset val="1"/>
      </rPr>
      <t xml:space="preserve">full_clean</t>
    </r>
    <r>
      <rPr>
        <sz val="9"/>
        <color rgb="FF000000"/>
        <rFont val="Noto Sans CJK SC"/>
        <family val="2"/>
      </rPr>
      <t xml:space="preserve">例外が未処理）</t>
    </r>
  </si>
  <si>
    <t xml:space="preserve">Medium</t>
  </si>
  <si>
    <t xml:space="preserve">2026-06-13</t>
  </si>
  <si>
    <t xml:space="preserve">TC-036; Auto-05; API-C2</t>
  </si>
  <si>
    <r>
      <rPr>
        <sz val="9"/>
        <color rgb="FF000000"/>
        <rFont val="Meiryo"/>
        <family val="0"/>
        <charset val="1"/>
      </rPr>
      <t xml:space="preserve">runn API</t>
    </r>
    <r>
      <rPr>
        <sz val="9"/>
        <color rgb="FF000000"/>
        <rFont val="Noto Sans CJK SC"/>
        <family val="2"/>
      </rPr>
      <t xml:space="preserve">層の期待値</t>
    </r>
    <r>
      <rPr>
        <sz val="9"/>
        <color rgb="FF000000"/>
        <rFont val="Meiryo"/>
        <family val="0"/>
        <charset val="1"/>
      </rPr>
      <t xml:space="preserve">(</t>
    </r>
    <r>
      <rPr>
        <sz val="9"/>
        <color rgb="FF000000"/>
        <rFont val="Noto Sans CJK SC"/>
        <family val="2"/>
      </rPr>
      <t xml:space="preserve">過去日→</t>
    </r>
    <r>
      <rPr>
        <sz val="9"/>
        <color rgb="FF000000"/>
        <rFont val="Meiryo"/>
        <family val="0"/>
        <charset val="1"/>
      </rPr>
      <t xml:space="preserve">400)</t>
    </r>
    <r>
      <rPr>
        <sz val="9"/>
        <color rgb="FF000000"/>
        <rFont val="Noto Sans CJK SC"/>
        <family val="2"/>
      </rPr>
      <t xml:space="preserve">を書き下す過程で</t>
    </r>
    <r>
      <rPr>
        <sz val="9"/>
        <color rgb="FF000000"/>
        <rFont val="Meiryo"/>
        <family val="0"/>
        <charset val="1"/>
      </rPr>
      <t xml:space="preserve">HTML</t>
    </r>
    <r>
      <rPr>
        <sz val="9"/>
        <color rgb="FF000000"/>
        <rFont val="Noto Sans CJK SC"/>
        <family val="2"/>
      </rPr>
      <t xml:space="preserve">側の</t>
    </r>
    <r>
      <rPr>
        <sz val="9"/>
        <color rgb="FF000000"/>
        <rFont val="Meiryo"/>
        <family val="0"/>
        <charset val="1"/>
      </rPr>
      <t xml:space="preserve">500</t>
    </r>
    <r>
      <rPr>
        <sz val="9"/>
        <color rgb="FF000000"/>
        <rFont val="Noto Sans CJK SC"/>
        <family val="2"/>
      </rPr>
      <t xml:space="preserve">を検出。</t>
    </r>
    <r>
      <rPr>
        <sz val="9"/>
        <color rgb="FF000000"/>
        <rFont val="Meiryo"/>
        <family val="0"/>
        <charset val="1"/>
      </rPr>
      <t xml:space="preserve">TC-036</t>
    </r>
    <r>
      <rPr>
        <sz val="9"/>
        <color rgb="FF000000"/>
        <rFont val="Noto Sans CJK SC"/>
        <family val="2"/>
      </rPr>
      <t xml:space="preserve">の手動実行は合格だったが下層が炙り出した。</t>
    </r>
    <r>
      <rPr>
        <sz val="9"/>
        <color rgb="FF000000"/>
        <rFont val="Meiryo"/>
        <family val="0"/>
        <charset val="1"/>
      </rPr>
      <t xml:space="preserve">view try/except</t>
    </r>
    <r>
      <rPr>
        <sz val="9"/>
        <color rgb="FF000000"/>
        <rFont val="Noto Sans CJK SC"/>
        <family val="2"/>
      </rPr>
      <t xml:space="preserve">＋</t>
    </r>
    <r>
      <rPr>
        <sz val="9"/>
        <color rgb="FF000000"/>
        <rFont val="Meiryo"/>
        <family val="0"/>
        <charset val="1"/>
      </rPr>
      <t xml:space="preserve">model</t>
    </r>
    <r>
      <rPr>
        <sz val="9"/>
        <color rgb="FF000000"/>
        <rFont val="Noto Sans CJK SC"/>
        <family val="2"/>
      </rPr>
      <t xml:space="preserve">型ガードで修正→</t>
    </r>
    <r>
      <rPr>
        <sz val="9"/>
        <color rgb="FF000000"/>
        <rFont val="Meiryo"/>
        <family val="0"/>
        <charset val="1"/>
      </rPr>
      <t xml:space="preserve">Auto-05/API-C</t>
    </r>
    <r>
      <rPr>
        <sz val="9"/>
        <color rgb="FF000000"/>
        <rFont val="Noto Sans CJK SC"/>
        <family val="2"/>
      </rPr>
      <t xml:space="preserve">で回帰。</t>
    </r>
  </si>
  <si>
    <t xml:space="preserve">defects/reports/DEFECT-003.md</t>
  </si>
  <si>
    <r>
      <rPr>
        <sz val="9"/>
        <color rgb="FF595959"/>
        <rFont val="Meiryo"/>
        <family val="0"/>
        <charset val="1"/>
      </rPr>
      <t xml:space="preserve">※ DEFECT-002/003 </t>
    </r>
    <r>
      <rPr>
        <sz val="9"/>
        <color rgb="FF595959"/>
        <rFont val="Noto Sans CJK SC"/>
        <family val="2"/>
      </rPr>
      <t xml:space="preserve">は手動テストではなく自動テスト（</t>
    </r>
    <r>
      <rPr>
        <sz val="9"/>
        <color rgb="FF595959"/>
        <rFont val="Meiryo"/>
        <family val="0"/>
        <charset val="1"/>
      </rPr>
      <t xml:space="preserve">Auto-03</t>
    </r>
    <r>
      <rPr>
        <sz val="9"/>
        <color rgb="FF595959"/>
        <rFont val="Noto Sans CJK SC"/>
        <family val="2"/>
      </rPr>
      <t xml:space="preserve">／</t>
    </r>
    <r>
      <rPr>
        <sz val="9"/>
        <color rgb="FF595959"/>
        <rFont val="Meiryo"/>
        <family val="0"/>
        <charset val="1"/>
      </rPr>
      <t xml:space="preserve">runn API </t>
    </r>
    <r>
      <rPr>
        <sz val="9"/>
        <color rgb="FF595959"/>
        <rFont val="Noto Sans CJK SC"/>
        <family val="2"/>
      </rPr>
      <t xml:space="preserve">層）の期待値設計が炙り出した。『下層で期待値を一意に書く作業そのものが上層の取りこぼしを検出する』ことの実例。各</t>
    </r>
    <r>
      <rPr>
        <sz val="9"/>
        <color rgb="FF595959"/>
        <rFont val="Meiryo"/>
        <family val="0"/>
        <charset val="1"/>
      </rPr>
      <t xml:space="preserve">TC</t>
    </r>
    <r>
      <rPr>
        <sz val="9"/>
        <color rgb="FF595959"/>
        <rFont val="Noto Sans CJK SC"/>
        <family val="2"/>
      </rPr>
      <t xml:space="preserve">の欠陥は『テストケース一覧』シートの欠陥列、時系列は『実行履歴』シート参照。</t>
    </r>
  </si>
</sst>
</file>

<file path=xl/styles.xml><?xml version="1.0" encoding="utf-8"?>
<styleSheet xmlns="http://schemas.openxmlformats.org/spreadsheetml/2006/main">
  <numFmts count="1">
    <numFmt numFmtId="164" formatCode="General"/>
  </numFmts>
  <fonts count="26">
    <font>
      <sz val="11"/>
      <color theme="1"/>
      <name val="Calibri"/>
      <family val="2"/>
      <charset val="1"/>
    </font>
    <font>
      <sz val="10"/>
      <name val="Arial"/>
      <family val="0"/>
    </font>
    <font>
      <sz val="10"/>
      <name val="Arial"/>
      <family val="0"/>
    </font>
    <font>
      <sz val="10"/>
      <name val="Arial"/>
      <family val="0"/>
    </font>
    <font>
      <b val="true"/>
      <sz val="16"/>
      <color rgb="FFFFFFFF"/>
      <name val="Noto Sans CJK SC"/>
      <family val="2"/>
    </font>
    <font>
      <b val="true"/>
      <sz val="10"/>
      <color rgb="FF000000"/>
      <name val="Noto Sans CJK SC"/>
      <family val="2"/>
    </font>
    <font>
      <sz val="10"/>
      <color rgb="FF000000"/>
      <name val="Meiryo"/>
      <family val="0"/>
      <charset val="1"/>
    </font>
    <font>
      <sz val="10"/>
      <color rgb="FF000000"/>
      <name val="Noto Sans CJK SC"/>
      <family val="2"/>
    </font>
    <font>
      <b val="true"/>
      <sz val="12"/>
      <color rgb="FFFFFFFF"/>
      <name val="Noto Sans CJK SC"/>
      <family val="2"/>
    </font>
    <font>
      <b val="true"/>
      <sz val="10"/>
      <color rgb="FFFFFFFF"/>
      <name val="Noto Sans CJK SC"/>
      <family val="2"/>
    </font>
    <font>
      <b val="true"/>
      <sz val="10"/>
      <name val="Meiryo"/>
      <family val="0"/>
      <charset val="1"/>
    </font>
    <font>
      <sz val="9"/>
      <color rgb="FF595959"/>
      <name val="Noto Sans CJK SC"/>
      <family val="2"/>
    </font>
    <font>
      <sz val="9"/>
      <color rgb="FF595959"/>
      <name val="Meiryo"/>
      <family val="0"/>
      <charset val="1"/>
    </font>
    <font>
      <b val="true"/>
      <sz val="10"/>
      <color rgb="FF000000"/>
      <name val="Meiryo"/>
      <family val="0"/>
      <charset val="1"/>
    </font>
    <font>
      <sz val="9"/>
      <color rgb="FF000000"/>
      <name val="Noto Sans CJK SC"/>
      <family val="2"/>
    </font>
    <font>
      <sz val="9"/>
      <color rgb="FF000000"/>
      <name val="Meiryo"/>
      <family val="0"/>
      <charset val="1"/>
    </font>
    <font>
      <b val="true"/>
      <sz val="10"/>
      <color rgb="FFFFFFFF"/>
      <name val="Meiryo"/>
      <family val="0"/>
      <charset val="1"/>
    </font>
    <font>
      <b val="true"/>
      <sz val="9"/>
      <name val="Meiryo"/>
      <family val="0"/>
      <charset val="1"/>
    </font>
    <font>
      <b val="true"/>
      <sz val="9"/>
      <color rgb="FF9C0006"/>
      <name val="Meiryo"/>
      <family val="0"/>
      <charset val="1"/>
    </font>
    <font>
      <b val="true"/>
      <sz val="9"/>
      <color rgb="FF375623"/>
      <name val="Noto Sans CJK SC"/>
      <family val="2"/>
    </font>
    <font>
      <sz val="9"/>
      <color rgb="FF808080"/>
      <name val="Meiryo"/>
      <family val="0"/>
      <charset val="1"/>
    </font>
    <font>
      <b val="true"/>
      <sz val="9"/>
      <color rgb="FF9C0006"/>
      <name val="Noto Sans CJK SC"/>
      <family val="2"/>
    </font>
    <font>
      <b val="true"/>
      <sz val="13"/>
      <color rgb="FFFFFFFF"/>
      <name val="Noto Sans CJK SC"/>
      <family val="2"/>
    </font>
    <font>
      <b val="true"/>
      <sz val="13"/>
      <color rgb="FFFFFFFF"/>
      <name val="Meiryo"/>
      <family val="0"/>
      <charset val="1"/>
    </font>
    <font>
      <b val="true"/>
      <sz val="9"/>
      <color rgb="FF974706"/>
      <name val="Meiryo"/>
      <family val="0"/>
      <charset val="1"/>
    </font>
    <font>
      <b val="true"/>
      <sz val="9"/>
      <color rgb="FF7F6000"/>
      <name val="Meiryo"/>
      <family val="0"/>
      <charset val="1"/>
    </font>
  </fonts>
  <fills count="14">
    <fill>
      <patternFill patternType="none"/>
    </fill>
    <fill>
      <patternFill patternType="gray125"/>
    </fill>
    <fill>
      <patternFill patternType="solid">
        <fgColor rgb="FF1F3864"/>
        <bgColor rgb="FF2E5496"/>
      </patternFill>
    </fill>
    <fill>
      <patternFill patternType="solid">
        <fgColor rgb="FFD9E1F2"/>
        <bgColor rgb="FFD9D9D9"/>
      </patternFill>
    </fill>
    <fill>
      <patternFill patternType="solid">
        <fgColor rgb="FF2E5496"/>
        <bgColor rgb="FF1F3864"/>
      </patternFill>
    </fill>
    <fill>
      <patternFill patternType="solid">
        <fgColor rgb="FFF2F2F2"/>
        <bgColor rgb="FFE2EFDA"/>
      </patternFill>
    </fill>
    <fill>
      <patternFill patternType="solid">
        <fgColor rgb="FF375623"/>
        <bgColor rgb="FF595959"/>
      </patternFill>
    </fill>
    <fill>
      <patternFill patternType="solid">
        <fgColor rgb="FFE2EFDA"/>
        <bgColor rgb="FFF2F2F2"/>
      </patternFill>
    </fill>
    <fill>
      <patternFill patternType="solid">
        <fgColor rgb="FFFFFFFF"/>
        <bgColor rgb="FFF2F2F2"/>
      </patternFill>
    </fill>
    <fill>
      <patternFill patternType="solid">
        <fgColor rgb="FFFFC7CE"/>
        <bgColor rgb="FFFCE4D6"/>
      </patternFill>
    </fill>
    <fill>
      <patternFill patternType="solid">
        <fgColor rgb="FFC6EFCE"/>
        <bgColor rgb="FFE2EFDA"/>
      </patternFill>
    </fill>
    <fill>
      <patternFill patternType="solid">
        <fgColor rgb="FFFFF2CC"/>
        <bgColor rgb="FFFCE4D6"/>
      </patternFill>
    </fill>
    <fill>
      <patternFill patternType="solid">
        <fgColor rgb="FFD9D9D9"/>
        <bgColor rgb="FFD9E1F2"/>
      </patternFill>
    </fill>
    <fill>
      <patternFill patternType="solid">
        <fgColor rgb="FFFCE4D6"/>
        <bgColor rgb="FFFFF2CC"/>
      </patternFill>
    </fill>
  </fills>
  <borders count="3">
    <border diagonalUp="false" diagonalDown="false">
      <left/>
      <right/>
      <top/>
      <bottom/>
      <diagonal/>
    </border>
    <border diagonalUp="false" diagonalDown="false">
      <left style="thin">
        <color rgb="FFBFBFBF"/>
      </left>
      <right/>
      <top style="thin">
        <color rgb="FFBFBFBF"/>
      </top>
      <bottom style="thin">
        <color rgb="FFBFBFBF"/>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9">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1" xfId="0" applyFont="true" applyBorder="true" applyAlignment="true" applyProtection="false">
      <alignment horizontal="left" vertical="center" textRotation="0" wrapText="true" indent="0" shrinkToFit="false"/>
      <protection locked="true" hidden="false"/>
    </xf>
    <xf numFmtId="164" fontId="5" fillId="3" borderId="2" xfId="0" applyFont="true" applyBorder="true" applyAlignment="true" applyProtection="false">
      <alignment horizontal="left" vertical="center" textRotation="0" wrapText="true" indent="0" shrinkToFit="false"/>
      <protection locked="true" hidden="false"/>
    </xf>
    <xf numFmtId="164" fontId="6" fillId="0" borderId="1" xfId="0" applyFont="true" applyBorder="true" applyAlignment="true" applyProtection="false">
      <alignment horizontal="left" vertical="center" textRotation="0" wrapText="true" indent="0" shrinkToFit="false"/>
      <protection locked="true" hidden="false"/>
    </xf>
    <xf numFmtId="164" fontId="7" fillId="0" borderId="1" xfId="0" applyFont="true" applyBorder="true" applyAlignment="true" applyProtection="false">
      <alignment horizontal="left" vertical="center" textRotation="0" wrapText="true" indent="0" shrinkToFit="false"/>
      <protection locked="true" hidden="false"/>
    </xf>
    <xf numFmtId="164" fontId="8" fillId="4" borderId="2" xfId="0" applyFont="true" applyBorder="true" applyAlignment="true" applyProtection="false">
      <alignment horizontal="left" vertical="center" textRotation="0" wrapText="true" indent="0" shrinkToFit="false"/>
      <protection locked="true" hidden="false"/>
    </xf>
    <xf numFmtId="164" fontId="9" fillId="4" borderId="2" xfId="0" applyFont="true" applyBorder="true" applyAlignment="true" applyProtection="false">
      <alignment horizontal="center" vertical="center" textRotation="0" wrapText="true" indent="0" shrinkToFit="false"/>
      <protection locked="true" hidden="false"/>
    </xf>
    <xf numFmtId="164" fontId="5" fillId="5" borderId="2" xfId="0" applyFont="true" applyBorder="true" applyAlignment="true" applyProtection="false">
      <alignment horizontal="left" vertical="center" textRotation="0" wrapText="true" indent="0" shrinkToFit="false"/>
      <protection locked="true" hidden="false"/>
    </xf>
    <xf numFmtId="164" fontId="7" fillId="0" borderId="2" xfId="0" applyFont="true" applyBorder="true" applyAlignment="true" applyProtection="false">
      <alignment horizontal="left" vertical="center" textRotation="0" wrapText="true" indent="0" shrinkToFit="false"/>
      <protection locked="true" hidden="false"/>
    </xf>
    <xf numFmtId="164" fontId="10" fillId="0" borderId="2" xfId="0" applyFont="true" applyBorder="true" applyAlignment="true" applyProtection="false">
      <alignment horizontal="center" vertical="center" textRotation="0" wrapText="false" indent="0" shrinkToFit="false"/>
      <protection locked="true" hidden="false"/>
    </xf>
    <xf numFmtId="164" fontId="11" fillId="0" borderId="2" xfId="0" applyFont="true" applyBorder="true" applyAlignment="true" applyProtection="false">
      <alignment horizontal="left" vertical="center" textRotation="0" wrapText="true" indent="0" shrinkToFit="false"/>
      <protection locked="true" hidden="false"/>
    </xf>
    <xf numFmtId="164" fontId="6" fillId="0" borderId="2" xfId="0" applyFont="true" applyBorder="true" applyAlignment="true" applyProtection="false">
      <alignment horizontal="left" vertical="center" textRotation="0" wrapText="true" indent="0" shrinkToFit="false"/>
      <protection locked="true" hidden="false"/>
    </xf>
    <xf numFmtId="164" fontId="12" fillId="0" borderId="2" xfId="0" applyFont="true" applyBorder="true" applyAlignment="true" applyProtection="false">
      <alignment horizontal="left" vertical="center" textRotation="0" wrapText="true" indent="0" shrinkToFit="false"/>
      <protection locked="true" hidden="false"/>
    </xf>
    <xf numFmtId="164" fontId="8" fillId="6" borderId="2" xfId="0" applyFont="true" applyBorder="true" applyAlignment="true" applyProtection="false">
      <alignment horizontal="left" vertical="center" textRotation="0" wrapText="true" indent="0" shrinkToFit="false"/>
      <protection locked="true" hidden="false"/>
    </xf>
    <xf numFmtId="164" fontId="9" fillId="6" borderId="2" xfId="0" applyFont="true" applyBorder="true" applyAlignment="true" applyProtection="false">
      <alignment horizontal="center" vertical="center" textRotation="0" wrapText="true" indent="0" shrinkToFit="false"/>
      <protection locked="true" hidden="false"/>
    </xf>
    <xf numFmtId="164" fontId="5" fillId="7" borderId="2" xfId="0" applyFont="true" applyBorder="true" applyAlignment="true" applyProtection="false">
      <alignment horizontal="left" vertical="center" textRotation="0" wrapText="true" indent="0" shrinkToFit="false"/>
      <protection locked="true" hidden="false"/>
    </xf>
    <xf numFmtId="164" fontId="14" fillId="0" borderId="1" xfId="0" applyFont="true" applyBorder="true" applyAlignment="true" applyProtection="false">
      <alignment horizontal="left" vertical="center" textRotation="0" wrapText="true" indent="0" shrinkToFit="false"/>
      <protection locked="true" hidden="false"/>
    </xf>
    <xf numFmtId="164" fontId="11" fillId="0" borderId="1" xfId="0" applyFont="true" applyBorder="true" applyAlignment="true" applyProtection="false">
      <alignment horizontal="left" vertical="center" textRotation="0" wrapText="true" indent="0" shrinkToFit="false"/>
      <protection locked="true" hidden="false"/>
    </xf>
    <xf numFmtId="164" fontId="16" fillId="2" borderId="2" xfId="0" applyFont="true" applyBorder="true" applyAlignment="true" applyProtection="false">
      <alignment horizontal="center" vertical="center" textRotation="0" wrapText="true" indent="0" shrinkToFit="false"/>
      <protection locked="true" hidden="false"/>
    </xf>
    <xf numFmtId="164" fontId="9" fillId="2" borderId="2" xfId="0" applyFont="true" applyBorder="true" applyAlignment="true" applyProtection="false">
      <alignment horizontal="center" vertical="center" textRotation="0" wrapText="true" indent="0" shrinkToFit="false"/>
      <protection locked="true" hidden="false"/>
    </xf>
    <xf numFmtId="164" fontId="17" fillId="8" borderId="2" xfId="0" applyFont="true" applyBorder="true" applyAlignment="true" applyProtection="false">
      <alignment horizontal="center" vertical="center" textRotation="0" wrapText="false" indent="0" shrinkToFit="false"/>
      <protection locked="true" hidden="false"/>
    </xf>
    <xf numFmtId="164" fontId="14" fillId="8" borderId="2" xfId="0" applyFont="true" applyBorder="true" applyAlignment="true" applyProtection="false">
      <alignment horizontal="left" vertical="center" textRotation="0" wrapText="true" indent="0" shrinkToFit="false"/>
      <protection locked="true" hidden="false"/>
    </xf>
    <xf numFmtId="164" fontId="18" fillId="9" borderId="2" xfId="0" applyFont="true" applyBorder="true" applyAlignment="true" applyProtection="false">
      <alignment horizontal="center" vertical="center" textRotation="0" wrapText="true" indent="0" shrinkToFit="false"/>
      <protection locked="true" hidden="false"/>
    </xf>
    <xf numFmtId="164" fontId="15" fillId="8" borderId="2" xfId="0" applyFont="true" applyBorder="true" applyAlignment="true" applyProtection="false">
      <alignment horizontal="center" vertical="center" textRotation="0" wrapText="true" indent="0" shrinkToFit="false"/>
      <protection locked="true" hidden="false"/>
    </xf>
    <xf numFmtId="164" fontId="15" fillId="8" borderId="2" xfId="0" applyFont="true" applyBorder="true" applyAlignment="true" applyProtection="false">
      <alignment horizontal="left" vertical="center" textRotation="0" wrapText="true" indent="0" shrinkToFit="false"/>
      <protection locked="true" hidden="false"/>
    </xf>
    <xf numFmtId="164" fontId="19" fillId="10" borderId="2" xfId="0" applyFont="true" applyBorder="true" applyAlignment="true" applyProtection="false">
      <alignment horizontal="center" vertical="center" textRotation="0" wrapText="true" indent="0" shrinkToFit="false"/>
      <protection locked="true" hidden="false"/>
    </xf>
    <xf numFmtId="164" fontId="17" fillId="5" borderId="2" xfId="0" applyFont="true" applyBorder="true" applyAlignment="true" applyProtection="false">
      <alignment horizontal="center" vertical="center" textRotation="0" wrapText="false" indent="0" shrinkToFit="false"/>
      <protection locked="true" hidden="false"/>
    </xf>
    <xf numFmtId="164" fontId="14" fillId="5" borderId="2" xfId="0" applyFont="true" applyBorder="true" applyAlignment="true" applyProtection="false">
      <alignment horizontal="left" vertical="center" textRotation="0" wrapText="true" indent="0" shrinkToFit="false"/>
      <protection locked="true" hidden="false"/>
    </xf>
    <xf numFmtId="164" fontId="15" fillId="5" borderId="2" xfId="0" applyFont="true" applyBorder="true" applyAlignment="true" applyProtection="false">
      <alignment horizontal="center" vertical="center" textRotation="0" wrapText="true" indent="0" shrinkToFit="false"/>
      <protection locked="true" hidden="false"/>
    </xf>
    <xf numFmtId="164" fontId="15" fillId="5" borderId="2" xfId="0" applyFont="true" applyBorder="true" applyAlignment="true" applyProtection="false">
      <alignment horizontal="left" vertical="center" textRotation="0" wrapText="true" indent="0" shrinkToFit="false"/>
      <protection locked="true" hidden="false"/>
    </xf>
    <xf numFmtId="164" fontId="18" fillId="11" borderId="2" xfId="0" applyFont="true" applyBorder="true" applyAlignment="true" applyProtection="false">
      <alignment horizontal="center" vertical="center" textRotation="0" wrapText="true" indent="0" shrinkToFit="false"/>
      <protection locked="true" hidden="false"/>
    </xf>
    <xf numFmtId="164" fontId="12" fillId="12" borderId="2" xfId="0" applyFont="true" applyBorder="true" applyAlignment="true" applyProtection="false">
      <alignment horizontal="center" vertical="center" textRotation="0" wrapText="true" indent="0" shrinkToFit="false"/>
      <protection locked="true" hidden="false"/>
    </xf>
    <xf numFmtId="164" fontId="20" fillId="12" borderId="2" xfId="0" applyFont="true" applyBorder="true" applyAlignment="true" applyProtection="false">
      <alignment horizontal="center" vertical="center" textRotation="0" wrapText="true" indent="0" shrinkToFit="false"/>
      <protection locked="true" hidden="false"/>
    </xf>
    <xf numFmtId="164" fontId="14" fillId="8" borderId="2" xfId="0" applyFont="true" applyBorder="true" applyAlignment="true" applyProtection="false">
      <alignment horizontal="center" vertical="center" textRotation="0" wrapText="true" indent="0" shrinkToFit="false"/>
      <protection locked="true" hidden="false"/>
    </xf>
    <xf numFmtId="164" fontId="21" fillId="9" borderId="2" xfId="0" applyFont="true" applyBorder="true" applyAlignment="true" applyProtection="false">
      <alignment horizontal="center" vertical="center" textRotation="0" wrapText="true" indent="0" shrinkToFit="false"/>
      <protection locked="true" hidden="false"/>
    </xf>
    <xf numFmtId="164" fontId="14" fillId="5" borderId="2" xfId="0" applyFont="true" applyBorder="true" applyAlignment="true" applyProtection="false">
      <alignment horizontal="center" vertical="center" textRotation="0" wrapText="true" indent="0" shrinkToFit="false"/>
      <protection locked="true" hidden="false"/>
    </xf>
    <xf numFmtId="164" fontId="22" fillId="2" borderId="1" xfId="0" applyFont="true" applyBorder="true" applyAlignment="true" applyProtection="false">
      <alignment horizontal="left" vertical="center" textRotation="0" wrapText="true" indent="0" shrinkToFit="false"/>
      <protection locked="true" hidden="false"/>
    </xf>
    <xf numFmtId="164" fontId="24" fillId="13" borderId="2" xfId="0" applyFont="true" applyBorder="true" applyAlignment="true" applyProtection="false">
      <alignment horizontal="center" vertical="center" textRotation="0" wrapText="true" indent="0" shrinkToFit="false"/>
      <protection locked="true" hidden="false"/>
    </xf>
    <xf numFmtId="164" fontId="25" fillId="11" borderId="2" xfId="0" applyFont="true" applyBorder="true" applyAlignment="true" applyProtection="false">
      <alignment horizontal="center" vertical="center"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13">
    <dxf>
      <fill>
        <patternFill patternType="solid">
          <fgColor rgb="FF1F3864"/>
          <bgColor rgb="FF000000"/>
        </patternFill>
      </fill>
    </dxf>
    <dxf>
      <fill>
        <patternFill patternType="solid">
          <fgColor rgb="FFF2F2F2"/>
          <bgColor rgb="FF000000"/>
        </patternFill>
      </fill>
    </dxf>
    <dxf>
      <fill>
        <patternFill patternType="solid">
          <fgColor rgb="FFFFFFFF"/>
          <bgColor rgb="FF000000"/>
        </patternFill>
      </fill>
    </dxf>
    <dxf>
      <fill>
        <patternFill patternType="solid">
          <bgColor rgb="FF000000"/>
        </patternFill>
      </fill>
    </dxf>
    <dxf>
      <fill>
        <patternFill patternType="solid">
          <fgColor rgb="FF000000"/>
          <bgColor rgb="FF000000"/>
        </patternFill>
      </fill>
    </dxf>
    <dxf>
      <fill>
        <patternFill patternType="solid">
          <fgColor rgb="FFD9D9D9"/>
          <bgColor rgb="FF000000"/>
        </patternFill>
      </fill>
    </dxf>
    <dxf>
      <fill>
        <patternFill patternType="solid">
          <fgColor rgb="FFFFC7CE"/>
          <bgColor rgb="FF000000"/>
        </patternFill>
      </fill>
    </dxf>
    <dxf>
      <fill>
        <patternFill patternType="solid">
          <fgColor rgb="FF595959"/>
          <bgColor rgb="FF000000"/>
        </patternFill>
      </fill>
    </dxf>
    <dxf>
      <fill>
        <patternFill patternType="solid">
          <fgColor rgb="FF9C0006"/>
          <bgColor rgb="FF000000"/>
        </patternFill>
      </fill>
    </dxf>
    <dxf>
      <fill>
        <patternFill patternType="solid">
          <fgColor rgb="FFC6EFCE"/>
          <bgColor rgb="FF000000"/>
        </patternFill>
      </fill>
    </dxf>
    <dxf>
      <fill>
        <patternFill patternType="solid">
          <fgColor rgb="FF375623"/>
          <bgColor rgb="FF000000"/>
        </patternFill>
      </fill>
    </dxf>
    <dxf>
      <fill>
        <patternFill patternType="solid">
          <fgColor rgb="FF808080"/>
          <bgColor rgb="FF000000"/>
        </patternFill>
      </fill>
    </dxf>
    <dxf>
      <fill>
        <patternFill patternType="solid">
          <fgColor rgb="FFFFF2CC"/>
          <bgColor rgb="FF000000"/>
        </patternFill>
      </fill>
    </dxf>
  </dxfs>
  <colors>
    <indexedColors>
      <rgbColor rgb="FF000000"/>
      <rgbColor rgb="FFFFFFFF"/>
      <rgbColor rgb="FFFF0000"/>
      <rgbColor rgb="FF00FF00"/>
      <rgbColor rgb="FF0000FF"/>
      <rgbColor rgb="FFFFFF00"/>
      <rgbColor rgb="FFFF00FF"/>
      <rgbColor rgb="FF00FFFF"/>
      <rgbColor rgb="FF9C0006"/>
      <rgbColor rgb="FF008000"/>
      <rgbColor rgb="FF000080"/>
      <rgbColor rgb="FF7F6000"/>
      <rgbColor rgb="FF800080"/>
      <rgbColor rgb="FF008080"/>
      <rgbColor rgb="FFBFBFBF"/>
      <rgbColor rgb="FF808080"/>
      <rgbColor rgb="FF9999FF"/>
      <rgbColor rgb="FF993366"/>
      <rgbColor rgb="FFFFF2CC"/>
      <rgbColor rgb="FFE2EFDA"/>
      <rgbColor rgb="FF660066"/>
      <rgbColor rgb="FFFF8080"/>
      <rgbColor rgb="FF0066CC"/>
      <rgbColor rgb="FFD9D9D9"/>
      <rgbColor rgb="FF000080"/>
      <rgbColor rgb="FFFF00FF"/>
      <rgbColor rgb="FFFFFF00"/>
      <rgbColor rgb="FF00FFFF"/>
      <rgbColor rgb="FF800080"/>
      <rgbColor rgb="FF800000"/>
      <rgbColor rgb="FF008080"/>
      <rgbColor rgb="FF0000FF"/>
      <rgbColor rgb="FF00CCFF"/>
      <rgbColor rgb="FFF2F2F2"/>
      <rgbColor rgb="FFC6EFCE"/>
      <rgbColor rgb="FFFCE4D6"/>
      <rgbColor rgb="FFD9E1F2"/>
      <rgbColor rgb="FFFF99CC"/>
      <rgbColor rgb="FFCC99FF"/>
      <rgbColor rgb="FFFFC7CE"/>
      <rgbColor rgb="FF3366FF"/>
      <rgbColor rgb="FF33CCCC"/>
      <rgbColor rgb="FF99CC00"/>
      <rgbColor rgb="FFFFCC00"/>
      <rgbColor rgb="FFFF9900"/>
      <rgbColor rgb="FFFF6600"/>
      <rgbColor rgb="FF595959"/>
      <rgbColor rgb="FF969696"/>
      <rgbColor rgb="FF1F3864"/>
      <rgbColor rgb="FF339966"/>
      <rgbColor rgb="FF003300"/>
      <rgbColor rgb="FF333300"/>
      <rgbColor rgb="FF974706"/>
      <rgbColor rgb="FF993366"/>
      <rgbColor rgb="FF2E5496"/>
      <rgbColor rgb="FF37562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drawing" Target="../drawings/drawing1.xml"/>
</Relationships>
</file>

<file path=xl/worksheets/_rels/sheet3.xml.rels><?xml version="1.0" encoding="UTF-8"?>
<Relationships xmlns="http://schemas.openxmlformats.org/package/2006/relationships"><Relationship Id="rId1" Type="http://schemas.openxmlformats.org/officeDocument/2006/relationships/drawing" Target="../drawings/drawing2.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D27"/>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8"/>
    <col collapsed="false" customWidth="true" hidden="false" outlineLevel="0" max="2" min="2" style="0" width="40"/>
    <col collapsed="false" customWidth="true" hidden="false" outlineLevel="0" max="3" min="3" style="0" width="12"/>
    <col collapsed="false" customWidth="true" hidden="false" outlineLevel="0" max="4" min="4" style="0" width="46"/>
  </cols>
  <sheetData>
    <row r="1" customFormat="false" ht="30" hidden="false" customHeight="true" outlineLevel="0" collapsed="false">
      <c r="A1" s="1" t="s">
        <v>0</v>
      </c>
      <c r="B1" s="1"/>
      <c r="C1" s="1"/>
      <c r="D1" s="1"/>
    </row>
    <row r="3" customFormat="false" ht="15" hidden="false" customHeight="true" outlineLevel="0" collapsed="false">
      <c r="A3" s="2" t="s">
        <v>1</v>
      </c>
      <c r="B3" s="3" t="s">
        <v>2</v>
      </c>
      <c r="C3" s="3"/>
      <c r="D3" s="3"/>
    </row>
    <row r="4" customFormat="false" ht="15" hidden="false" customHeight="true" outlineLevel="0" collapsed="false">
      <c r="A4" s="2" t="s">
        <v>3</v>
      </c>
      <c r="B4" s="3" t="s">
        <v>4</v>
      </c>
      <c r="C4" s="3"/>
      <c r="D4" s="3"/>
    </row>
    <row r="5" customFormat="false" ht="15" hidden="false" customHeight="true" outlineLevel="0" collapsed="false">
      <c r="A5" s="2" t="s">
        <v>5</v>
      </c>
      <c r="B5" s="3" t="s">
        <v>6</v>
      </c>
      <c r="C5" s="3"/>
      <c r="D5" s="3"/>
    </row>
    <row r="6" customFormat="false" ht="15" hidden="false" customHeight="true" outlineLevel="0" collapsed="false">
      <c r="A6" s="2" t="s">
        <v>7</v>
      </c>
      <c r="B6" s="4" t="s">
        <v>8</v>
      </c>
      <c r="C6" s="4"/>
      <c r="D6" s="4"/>
    </row>
    <row r="7" customFormat="false" ht="15" hidden="false" customHeight="true" outlineLevel="0" collapsed="false">
      <c r="A7" s="2" t="s">
        <v>9</v>
      </c>
      <c r="B7" s="3" t="s">
        <v>10</v>
      </c>
      <c r="C7" s="3"/>
      <c r="D7" s="3"/>
    </row>
    <row r="9" customFormat="false" ht="19.4" hidden="false" customHeight="true" outlineLevel="0" collapsed="false">
      <c r="A9" s="5" t="s">
        <v>11</v>
      </c>
      <c r="B9" s="5"/>
      <c r="C9" s="5"/>
      <c r="D9" s="5"/>
    </row>
    <row r="10" customFormat="false" ht="15" hidden="false" customHeight="false" outlineLevel="0" collapsed="false">
      <c r="A10" s="6" t="s">
        <v>12</v>
      </c>
      <c r="B10" s="6" t="s">
        <v>13</v>
      </c>
      <c r="C10" s="6" t="s">
        <v>14</v>
      </c>
      <c r="D10" s="6" t="s">
        <v>15</v>
      </c>
    </row>
    <row r="11" customFormat="false" ht="15" hidden="false" customHeight="false" outlineLevel="0" collapsed="false">
      <c r="A11" s="7" t="s">
        <v>16</v>
      </c>
      <c r="B11" s="8" t="s">
        <v>17</v>
      </c>
      <c r="C11" s="9" t="n">
        <f aca="false">COUNTA(テストケース一覧!$A$2:$A$47)</f>
        <v>46</v>
      </c>
      <c r="D11" s="10" t="s">
        <v>18</v>
      </c>
    </row>
    <row r="12" customFormat="false" ht="15" hidden="false" customHeight="false" outlineLevel="0" collapsed="false">
      <c r="A12" s="7" t="s">
        <v>19</v>
      </c>
      <c r="B12" s="11" t="s">
        <v>20</v>
      </c>
      <c r="C12" s="9" t="n">
        <f aca="false">COUNTIF(テストケース一覧!$I$2:$I$47,"P1")</f>
        <v>30</v>
      </c>
      <c r="D12" s="10"/>
    </row>
    <row r="13" customFormat="false" ht="15" hidden="false" customHeight="false" outlineLevel="0" collapsed="false">
      <c r="A13" s="7" t="s">
        <v>19</v>
      </c>
      <c r="B13" s="11" t="s">
        <v>21</v>
      </c>
      <c r="C13" s="9" t="n">
        <f aca="false">COUNTIF(テストケース一覧!$I$2:$I$47,"P2")</f>
        <v>16</v>
      </c>
      <c r="D13" s="10"/>
    </row>
    <row r="14" customFormat="false" ht="15" hidden="false" customHeight="false" outlineLevel="0" collapsed="false">
      <c r="A14" s="7" t="s">
        <v>22</v>
      </c>
      <c r="B14" s="8" t="s">
        <v>23</v>
      </c>
      <c r="C14" s="9" t="n">
        <f aca="false">COUNTA(テストケース一覧!$A$2:$A$47)-COUNTIF(テストケース一覧!$K$2:$K$47,"*手動専用*")</f>
        <v>37</v>
      </c>
      <c r="D14" s="12" t="s">
        <v>24</v>
      </c>
    </row>
    <row r="15" customFormat="false" ht="15" hidden="false" customHeight="false" outlineLevel="0" collapsed="false">
      <c r="A15" s="7" t="s">
        <v>22</v>
      </c>
      <c r="B15" s="8" t="s">
        <v>25</v>
      </c>
      <c r="C15" s="9" t="n">
        <f aca="false">COUNTIF(テストケース一覧!$K$2:$K$47,"*手動専用*")</f>
        <v>9</v>
      </c>
      <c r="D15" s="10"/>
    </row>
    <row r="17" customFormat="false" ht="19.4" hidden="false" customHeight="true" outlineLevel="0" collapsed="false">
      <c r="A17" s="13" t="s">
        <v>26</v>
      </c>
      <c r="B17" s="13"/>
      <c r="C17" s="13"/>
      <c r="D17" s="13"/>
    </row>
    <row r="18" customFormat="false" ht="15" hidden="false" customHeight="false" outlineLevel="0" collapsed="false">
      <c r="A18" s="14" t="s">
        <v>12</v>
      </c>
      <c r="B18" s="14" t="s">
        <v>13</v>
      </c>
      <c r="C18" s="14" t="s">
        <v>14</v>
      </c>
      <c r="D18" s="14" t="s">
        <v>15</v>
      </c>
    </row>
    <row r="19" customFormat="false" ht="15" hidden="false" customHeight="false" outlineLevel="0" collapsed="false">
      <c r="A19" s="7" t="s">
        <v>27</v>
      </c>
      <c r="B19" s="8" t="s">
        <v>28</v>
      </c>
      <c r="C19" s="9" t="n">
        <f aca="false">COUNTA(実行履歴!$A$2:$A$100)</f>
        <v>46</v>
      </c>
      <c r="D19" s="12" t="s">
        <v>29</v>
      </c>
    </row>
    <row r="20" customFormat="false" ht="15" hidden="false" customHeight="false" outlineLevel="0" collapsed="false">
      <c r="A20" s="7" t="s">
        <v>27</v>
      </c>
      <c r="B20" s="8" t="s">
        <v>30</v>
      </c>
      <c r="C20" s="9" t="n">
        <f aca="false">COUNTIF(実行履歴!$H$2:$H$100,"合格")</f>
        <v>44</v>
      </c>
      <c r="D20" s="10"/>
    </row>
    <row r="21" customFormat="false" ht="15" hidden="false" customHeight="false" outlineLevel="0" collapsed="false">
      <c r="A21" s="7" t="s">
        <v>27</v>
      </c>
      <c r="B21" s="8" t="s">
        <v>31</v>
      </c>
      <c r="C21" s="9" t="n">
        <f aca="false">COUNTIF(実行履歴!$H$2:$H$100,"不合格")</f>
        <v>2</v>
      </c>
      <c r="D21" s="10" t="s">
        <v>32</v>
      </c>
    </row>
    <row r="22" customFormat="false" ht="15" hidden="false" customHeight="false" outlineLevel="0" collapsed="false">
      <c r="A22" s="7" t="s">
        <v>27</v>
      </c>
      <c r="B22" s="8" t="s">
        <v>33</v>
      </c>
      <c r="C22" s="9" t="s">
        <v>34</v>
      </c>
      <c r="D22" s="10"/>
    </row>
    <row r="23" customFormat="false" ht="15" hidden="false" customHeight="true" outlineLevel="0" collapsed="false">
      <c r="A23" s="15" t="s">
        <v>35</v>
      </c>
      <c r="B23" s="16" t="s">
        <v>36</v>
      </c>
      <c r="C23" s="16"/>
      <c r="D23" s="16"/>
    </row>
    <row r="24" customFormat="false" ht="15" hidden="false" customHeight="true" outlineLevel="0" collapsed="false">
      <c r="A24" s="15" t="s">
        <v>37</v>
      </c>
      <c r="B24" s="16" t="s">
        <v>38</v>
      </c>
      <c r="C24" s="16"/>
      <c r="D24" s="16"/>
    </row>
    <row r="25" customFormat="false" ht="26.85" hidden="false" customHeight="true" outlineLevel="0" collapsed="false">
      <c r="A25" s="15" t="s">
        <v>39</v>
      </c>
      <c r="B25" s="16" t="s">
        <v>40</v>
      </c>
      <c r="C25" s="16"/>
      <c r="D25" s="16"/>
    </row>
    <row r="27" customFormat="false" ht="26.85" hidden="false" customHeight="true" outlineLevel="0" collapsed="false">
      <c r="A27" s="7" t="s">
        <v>41</v>
      </c>
      <c r="B27" s="17" t="s">
        <v>42</v>
      </c>
      <c r="C27" s="17"/>
      <c r="D27" s="17"/>
    </row>
  </sheetData>
  <mergeCells count="12">
    <mergeCell ref="A1:D1"/>
    <mergeCell ref="B3:D3"/>
    <mergeCell ref="B4:D4"/>
    <mergeCell ref="B5:D5"/>
    <mergeCell ref="B6:D6"/>
    <mergeCell ref="B7:D7"/>
    <mergeCell ref="A9:D9"/>
    <mergeCell ref="A17:D17"/>
    <mergeCell ref="B23:D23"/>
    <mergeCell ref="B24:D24"/>
    <mergeCell ref="B25:D25"/>
    <mergeCell ref="B27:D27"/>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P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1" ySplit="1" topLeftCell="B2" activePane="bottomRight" state="frozen"/>
      <selection pane="topLeft" activeCell="A1" activeCellId="0" sqref="A1"/>
      <selection pane="topRight" activeCell="B1" activeCellId="0" sqref="B1"/>
      <selection pane="bottomLeft" activeCell="A2" activeCellId="0" sqref="A2"/>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13"/>
    <col collapsed="false" customWidth="true" hidden="false" outlineLevel="0" max="3" min="3" style="0" width="14"/>
    <col collapsed="false" customWidth="true" hidden="false" outlineLevel="0" max="4" min="4" style="0" width="18"/>
    <col collapsed="false" customWidth="true" hidden="false" outlineLevel="0" max="5" min="5" style="0" width="26"/>
    <col collapsed="false" customWidth="true" hidden="false" outlineLevel="0" max="6" min="6" style="0" width="22"/>
    <col collapsed="false" customWidth="true" hidden="false" outlineLevel="0" max="7" min="7" style="0" width="24"/>
    <col collapsed="false" customWidth="true" hidden="false" outlineLevel="0" max="8" min="8" style="0" width="26"/>
    <col collapsed="false" customWidth="true" hidden="false" outlineLevel="0" max="9" min="9" style="0" width="7"/>
    <col collapsed="false" customWidth="true" hidden="false" outlineLevel="0" max="10" min="10" style="0" width="12"/>
    <col collapsed="false" customWidth="true" hidden="false" outlineLevel="0" max="11" min="11" style="0" width="17"/>
    <col collapsed="false" customWidth="true" hidden="false" outlineLevel="0" max="13" min="12" style="0" width="12"/>
    <col collapsed="false" customWidth="true" hidden="false" outlineLevel="0" max="15" min="14" style="0" width="11"/>
    <col collapsed="false" customWidth="true" hidden="false" outlineLevel="0" max="16" min="16" style="0" width="26"/>
  </cols>
  <sheetData>
    <row r="1" customFormat="false" ht="30" hidden="false" customHeight="true" outlineLevel="0" collapsed="false">
      <c r="A1" s="18" t="s">
        <v>43</v>
      </c>
      <c r="B1" s="19" t="s">
        <v>44</v>
      </c>
      <c r="C1" s="19" t="s">
        <v>45</v>
      </c>
      <c r="D1" s="19" t="s">
        <v>46</v>
      </c>
      <c r="E1" s="19" t="s">
        <v>47</v>
      </c>
      <c r="F1" s="19" t="s">
        <v>48</v>
      </c>
      <c r="G1" s="19" t="s">
        <v>49</v>
      </c>
      <c r="H1" s="19" t="s">
        <v>50</v>
      </c>
      <c r="I1" s="19" t="s">
        <v>19</v>
      </c>
      <c r="J1" s="19" t="s">
        <v>51</v>
      </c>
      <c r="K1" s="19" t="s">
        <v>52</v>
      </c>
      <c r="L1" s="19" t="s">
        <v>53</v>
      </c>
      <c r="M1" s="19" t="s">
        <v>54</v>
      </c>
      <c r="N1" s="19" t="s">
        <v>55</v>
      </c>
      <c r="O1" s="19" t="s">
        <v>39</v>
      </c>
      <c r="P1" s="19" t="s">
        <v>15</v>
      </c>
    </row>
    <row r="2" customFormat="false" ht="42" hidden="false" customHeight="true" outlineLevel="0" collapsed="false">
      <c r="A2" s="20" t="s">
        <v>56</v>
      </c>
      <c r="B2" s="21" t="s">
        <v>57</v>
      </c>
      <c r="C2" s="21" t="s">
        <v>58</v>
      </c>
      <c r="D2" s="21" t="s">
        <v>59</v>
      </c>
      <c r="E2" s="21" t="s">
        <v>60</v>
      </c>
      <c r="F2" s="21" t="s">
        <v>61</v>
      </c>
      <c r="G2" s="21" t="s">
        <v>62</v>
      </c>
      <c r="H2" s="21" t="s">
        <v>63</v>
      </c>
      <c r="I2" s="22" t="s">
        <v>64</v>
      </c>
      <c r="J2" s="23" t="s">
        <v>65</v>
      </c>
      <c r="K2" s="24" t="s">
        <v>66</v>
      </c>
      <c r="L2" s="25" t="s">
        <v>67</v>
      </c>
      <c r="M2" s="23" t="s">
        <v>68</v>
      </c>
      <c r="N2" s="23" t="s">
        <v>69</v>
      </c>
      <c r="O2" s="23"/>
      <c r="P2" s="21"/>
    </row>
    <row r="3" customFormat="false" ht="42" hidden="false" customHeight="true" outlineLevel="0" collapsed="false">
      <c r="A3" s="26" t="s">
        <v>70</v>
      </c>
      <c r="B3" s="27" t="s">
        <v>57</v>
      </c>
      <c r="C3" s="27" t="s">
        <v>58</v>
      </c>
      <c r="D3" s="27" t="s">
        <v>71</v>
      </c>
      <c r="E3" s="27" t="s">
        <v>72</v>
      </c>
      <c r="F3" s="27" t="s">
        <v>73</v>
      </c>
      <c r="G3" s="27" t="s">
        <v>74</v>
      </c>
      <c r="H3" s="27" t="s">
        <v>75</v>
      </c>
      <c r="I3" s="22" t="s">
        <v>64</v>
      </c>
      <c r="J3" s="28" t="s">
        <v>65</v>
      </c>
      <c r="K3" s="29" t="s">
        <v>76</v>
      </c>
      <c r="L3" s="25" t="s">
        <v>77</v>
      </c>
      <c r="M3" s="28" t="s">
        <v>78</v>
      </c>
      <c r="N3" s="28" t="s">
        <v>79</v>
      </c>
      <c r="O3" s="30" t="s">
        <v>80</v>
      </c>
      <c r="P3" s="27" t="s">
        <v>81</v>
      </c>
    </row>
    <row r="4" customFormat="false" ht="42" hidden="false" customHeight="true" outlineLevel="0" collapsed="false">
      <c r="A4" s="20" t="s">
        <v>82</v>
      </c>
      <c r="B4" s="21" t="s">
        <v>57</v>
      </c>
      <c r="C4" s="21" t="s">
        <v>58</v>
      </c>
      <c r="D4" s="21" t="s">
        <v>83</v>
      </c>
      <c r="E4" s="21" t="s">
        <v>84</v>
      </c>
      <c r="F4" s="21" t="s">
        <v>73</v>
      </c>
      <c r="G4" s="24" t="s">
        <v>85</v>
      </c>
      <c r="H4" s="21" t="s">
        <v>86</v>
      </c>
      <c r="I4" s="22" t="s">
        <v>64</v>
      </c>
      <c r="J4" s="23" t="s">
        <v>65</v>
      </c>
      <c r="K4" s="24" t="s">
        <v>87</v>
      </c>
      <c r="L4" s="25" t="s">
        <v>77</v>
      </c>
      <c r="M4" s="23" t="s">
        <v>78</v>
      </c>
      <c r="N4" s="23" t="s">
        <v>88</v>
      </c>
      <c r="O4" s="30" t="s">
        <v>80</v>
      </c>
      <c r="P4" s="21" t="s">
        <v>81</v>
      </c>
    </row>
    <row r="5" customFormat="false" ht="42" hidden="false" customHeight="true" outlineLevel="0" collapsed="false">
      <c r="A5" s="26" t="s">
        <v>89</v>
      </c>
      <c r="B5" s="27" t="s">
        <v>57</v>
      </c>
      <c r="C5" s="27" t="s">
        <v>90</v>
      </c>
      <c r="D5" s="29" t="s">
        <v>91</v>
      </c>
      <c r="E5" s="27" t="s">
        <v>92</v>
      </c>
      <c r="F5" s="27" t="s">
        <v>93</v>
      </c>
      <c r="G5" s="27" t="s">
        <v>94</v>
      </c>
      <c r="H5" s="27" t="s">
        <v>95</v>
      </c>
      <c r="I5" s="22" t="s">
        <v>64</v>
      </c>
      <c r="J5" s="28" t="s">
        <v>96</v>
      </c>
      <c r="K5" s="29" t="s">
        <v>97</v>
      </c>
      <c r="L5" s="25" t="s">
        <v>67</v>
      </c>
      <c r="M5" s="28" t="s">
        <v>68</v>
      </c>
      <c r="N5" s="28" t="s">
        <v>98</v>
      </c>
      <c r="O5" s="28"/>
      <c r="P5" s="27"/>
    </row>
    <row r="6" customFormat="false" ht="42" hidden="false" customHeight="true" outlineLevel="0" collapsed="false">
      <c r="A6" s="20" t="s">
        <v>99</v>
      </c>
      <c r="B6" s="21" t="s">
        <v>57</v>
      </c>
      <c r="C6" s="21" t="s">
        <v>90</v>
      </c>
      <c r="D6" s="21" t="s">
        <v>100</v>
      </c>
      <c r="E6" s="21" t="s">
        <v>101</v>
      </c>
      <c r="F6" s="21" t="s">
        <v>102</v>
      </c>
      <c r="G6" s="21" t="s">
        <v>103</v>
      </c>
      <c r="H6" s="21" t="s">
        <v>104</v>
      </c>
      <c r="I6" s="22" t="s">
        <v>64</v>
      </c>
      <c r="J6" s="23" t="s">
        <v>96</v>
      </c>
      <c r="K6" s="24" t="s">
        <v>97</v>
      </c>
      <c r="L6" s="25" t="s">
        <v>67</v>
      </c>
      <c r="M6" s="23" t="s">
        <v>68</v>
      </c>
      <c r="N6" s="23" t="s">
        <v>105</v>
      </c>
      <c r="O6" s="23"/>
      <c r="P6" s="21"/>
    </row>
    <row r="7" customFormat="false" ht="42" hidden="false" customHeight="true" outlineLevel="0" collapsed="false">
      <c r="A7" s="26" t="s">
        <v>106</v>
      </c>
      <c r="B7" s="27" t="s">
        <v>57</v>
      </c>
      <c r="C7" s="27" t="s">
        <v>107</v>
      </c>
      <c r="D7" s="27" t="s">
        <v>108</v>
      </c>
      <c r="E7" s="27" t="s">
        <v>109</v>
      </c>
      <c r="F7" s="27" t="s">
        <v>110</v>
      </c>
      <c r="G7" s="27" t="s">
        <v>111</v>
      </c>
      <c r="H7" s="27" t="s">
        <v>112</v>
      </c>
      <c r="I7" s="31" t="s">
        <v>113</v>
      </c>
      <c r="J7" s="28" t="s">
        <v>114</v>
      </c>
      <c r="K7" s="27" t="s">
        <v>115</v>
      </c>
      <c r="L7" s="25" t="s">
        <v>67</v>
      </c>
      <c r="M7" s="28" t="s">
        <v>116</v>
      </c>
      <c r="N7" s="28" t="s">
        <v>117</v>
      </c>
      <c r="O7" s="28"/>
      <c r="P7" s="27"/>
    </row>
    <row r="8" customFormat="false" ht="42" hidden="false" customHeight="true" outlineLevel="0" collapsed="false">
      <c r="A8" s="20" t="s">
        <v>118</v>
      </c>
      <c r="B8" s="21" t="s">
        <v>57</v>
      </c>
      <c r="C8" s="21" t="s">
        <v>90</v>
      </c>
      <c r="D8" s="21" t="s">
        <v>119</v>
      </c>
      <c r="E8" s="21" t="s">
        <v>120</v>
      </c>
      <c r="F8" s="21" t="s">
        <v>121</v>
      </c>
      <c r="G8" s="21" t="s">
        <v>122</v>
      </c>
      <c r="H8" s="24" t="s">
        <v>123</v>
      </c>
      <c r="I8" s="22" t="s">
        <v>64</v>
      </c>
      <c r="J8" s="23" t="s">
        <v>124</v>
      </c>
      <c r="K8" s="24" t="s">
        <v>125</v>
      </c>
      <c r="L8" s="25" t="s">
        <v>67</v>
      </c>
      <c r="M8" s="23" t="s">
        <v>126</v>
      </c>
      <c r="N8" s="23" t="s">
        <v>127</v>
      </c>
      <c r="O8" s="23"/>
      <c r="P8" s="21"/>
    </row>
    <row r="9" customFormat="false" ht="42" hidden="false" customHeight="true" outlineLevel="0" collapsed="false">
      <c r="A9" s="26" t="s">
        <v>128</v>
      </c>
      <c r="B9" s="27" t="s">
        <v>57</v>
      </c>
      <c r="C9" s="27" t="s">
        <v>90</v>
      </c>
      <c r="D9" s="27" t="s">
        <v>129</v>
      </c>
      <c r="E9" s="27" t="s">
        <v>130</v>
      </c>
      <c r="F9" s="27" t="s">
        <v>131</v>
      </c>
      <c r="G9" s="27" t="s">
        <v>132</v>
      </c>
      <c r="H9" s="29" t="s">
        <v>123</v>
      </c>
      <c r="I9" s="22" t="s">
        <v>64</v>
      </c>
      <c r="J9" s="28" t="s">
        <v>133</v>
      </c>
      <c r="K9" s="29" t="s">
        <v>134</v>
      </c>
      <c r="L9" s="25" t="s">
        <v>67</v>
      </c>
      <c r="M9" s="28" t="s">
        <v>126</v>
      </c>
      <c r="N9" s="28" t="s">
        <v>135</v>
      </c>
      <c r="O9" s="28"/>
      <c r="P9" s="27"/>
    </row>
    <row r="10" customFormat="false" ht="42" hidden="false" customHeight="true" outlineLevel="0" collapsed="false">
      <c r="A10" s="20" t="s">
        <v>136</v>
      </c>
      <c r="B10" s="21" t="s">
        <v>57</v>
      </c>
      <c r="C10" s="21" t="s">
        <v>137</v>
      </c>
      <c r="D10" s="21" t="s">
        <v>138</v>
      </c>
      <c r="E10" s="21" t="s">
        <v>139</v>
      </c>
      <c r="F10" s="21" t="s">
        <v>140</v>
      </c>
      <c r="G10" s="21" t="s">
        <v>141</v>
      </c>
      <c r="H10" s="21" t="s">
        <v>142</v>
      </c>
      <c r="I10" s="22" t="s">
        <v>64</v>
      </c>
      <c r="J10" s="23" t="s">
        <v>143</v>
      </c>
      <c r="K10" s="24" t="s">
        <v>144</v>
      </c>
      <c r="L10" s="25" t="s">
        <v>67</v>
      </c>
      <c r="M10" s="23" t="s">
        <v>126</v>
      </c>
      <c r="N10" s="23" t="s">
        <v>145</v>
      </c>
      <c r="O10" s="23"/>
      <c r="P10" s="21"/>
    </row>
    <row r="11" customFormat="false" ht="42" hidden="false" customHeight="true" outlineLevel="0" collapsed="false">
      <c r="A11" s="26" t="s">
        <v>146</v>
      </c>
      <c r="B11" s="27" t="s">
        <v>57</v>
      </c>
      <c r="C11" s="27" t="s">
        <v>137</v>
      </c>
      <c r="D11" s="27" t="s">
        <v>147</v>
      </c>
      <c r="E11" s="27" t="s">
        <v>148</v>
      </c>
      <c r="F11" s="27" t="s">
        <v>149</v>
      </c>
      <c r="G11" s="27" t="s">
        <v>150</v>
      </c>
      <c r="H11" s="27" t="s">
        <v>151</v>
      </c>
      <c r="I11" s="22" t="s">
        <v>64</v>
      </c>
      <c r="J11" s="28" t="s">
        <v>152</v>
      </c>
      <c r="K11" s="29" t="s">
        <v>144</v>
      </c>
      <c r="L11" s="25" t="s">
        <v>67</v>
      </c>
      <c r="M11" s="28" t="s">
        <v>153</v>
      </c>
      <c r="N11" s="28" t="s">
        <v>154</v>
      </c>
      <c r="O11" s="28"/>
      <c r="P11" s="27"/>
    </row>
    <row r="12" customFormat="false" ht="42" hidden="false" customHeight="true" outlineLevel="0" collapsed="false">
      <c r="A12" s="20" t="s">
        <v>155</v>
      </c>
      <c r="B12" s="21" t="s">
        <v>156</v>
      </c>
      <c r="C12" s="21" t="s">
        <v>157</v>
      </c>
      <c r="D12" s="21" t="s">
        <v>158</v>
      </c>
      <c r="E12" s="21" t="s">
        <v>159</v>
      </c>
      <c r="F12" s="21" t="s">
        <v>160</v>
      </c>
      <c r="G12" s="21" t="s">
        <v>161</v>
      </c>
      <c r="H12" s="21" t="s">
        <v>162</v>
      </c>
      <c r="I12" s="22" t="s">
        <v>64</v>
      </c>
      <c r="J12" s="23" t="s">
        <v>163</v>
      </c>
      <c r="K12" s="24" t="s">
        <v>164</v>
      </c>
      <c r="L12" s="25" t="s">
        <v>67</v>
      </c>
      <c r="M12" s="23" t="s">
        <v>153</v>
      </c>
      <c r="N12" s="23" t="s">
        <v>165</v>
      </c>
      <c r="O12" s="23"/>
      <c r="P12" s="21"/>
    </row>
    <row r="13" customFormat="false" ht="42" hidden="false" customHeight="true" outlineLevel="0" collapsed="false">
      <c r="A13" s="26" t="s">
        <v>166</v>
      </c>
      <c r="B13" s="27" t="s">
        <v>156</v>
      </c>
      <c r="C13" s="27" t="s">
        <v>157</v>
      </c>
      <c r="D13" s="27" t="s">
        <v>167</v>
      </c>
      <c r="E13" s="27" t="s">
        <v>168</v>
      </c>
      <c r="F13" s="27" t="s">
        <v>169</v>
      </c>
      <c r="G13" s="27" t="s">
        <v>170</v>
      </c>
      <c r="H13" s="27" t="s">
        <v>171</v>
      </c>
      <c r="I13" s="31" t="s">
        <v>113</v>
      </c>
      <c r="J13" s="28" t="s">
        <v>65</v>
      </c>
      <c r="K13" s="29" t="s">
        <v>164</v>
      </c>
      <c r="L13" s="25" t="s">
        <v>67</v>
      </c>
      <c r="M13" s="28" t="s">
        <v>172</v>
      </c>
      <c r="N13" s="28" t="s">
        <v>173</v>
      </c>
      <c r="O13" s="28"/>
      <c r="P13" s="27"/>
    </row>
    <row r="14" customFormat="false" ht="42" hidden="false" customHeight="true" outlineLevel="0" collapsed="false">
      <c r="A14" s="20" t="s">
        <v>174</v>
      </c>
      <c r="B14" s="21" t="s">
        <v>156</v>
      </c>
      <c r="C14" s="21" t="s">
        <v>157</v>
      </c>
      <c r="D14" s="21" t="s">
        <v>175</v>
      </c>
      <c r="E14" s="21" t="s">
        <v>176</v>
      </c>
      <c r="F14" s="21" t="s">
        <v>177</v>
      </c>
      <c r="G14" s="21" t="s">
        <v>161</v>
      </c>
      <c r="H14" s="21" t="s">
        <v>162</v>
      </c>
      <c r="I14" s="22" t="s">
        <v>64</v>
      </c>
      <c r="J14" s="23" t="s">
        <v>178</v>
      </c>
      <c r="K14" s="24" t="s">
        <v>164</v>
      </c>
      <c r="L14" s="25" t="s">
        <v>67</v>
      </c>
      <c r="M14" s="23" t="s">
        <v>172</v>
      </c>
      <c r="N14" s="23" t="s">
        <v>179</v>
      </c>
      <c r="O14" s="23"/>
      <c r="P14" s="21"/>
    </row>
    <row r="15" customFormat="false" ht="42" hidden="false" customHeight="true" outlineLevel="0" collapsed="false">
      <c r="A15" s="26" t="s">
        <v>180</v>
      </c>
      <c r="B15" s="27" t="s">
        <v>57</v>
      </c>
      <c r="C15" s="27" t="s">
        <v>181</v>
      </c>
      <c r="D15" s="27" t="s">
        <v>100</v>
      </c>
      <c r="E15" s="27" t="s">
        <v>182</v>
      </c>
      <c r="F15" s="27" t="s">
        <v>183</v>
      </c>
      <c r="G15" s="27" t="s">
        <v>184</v>
      </c>
      <c r="H15" s="29" t="s">
        <v>185</v>
      </c>
      <c r="I15" s="22" t="s">
        <v>64</v>
      </c>
      <c r="J15" s="28" t="s">
        <v>186</v>
      </c>
      <c r="K15" s="27" t="s">
        <v>187</v>
      </c>
      <c r="L15" s="25" t="s">
        <v>67</v>
      </c>
      <c r="M15" s="28" t="s">
        <v>172</v>
      </c>
      <c r="N15" s="28" t="s">
        <v>188</v>
      </c>
      <c r="O15" s="28"/>
      <c r="P15" s="27"/>
    </row>
    <row r="16" customFormat="false" ht="42" hidden="false" customHeight="true" outlineLevel="0" collapsed="false">
      <c r="A16" s="20" t="s">
        <v>189</v>
      </c>
      <c r="B16" s="21" t="s">
        <v>57</v>
      </c>
      <c r="C16" s="21" t="s">
        <v>190</v>
      </c>
      <c r="D16" s="21" t="s">
        <v>191</v>
      </c>
      <c r="E16" s="21" t="s">
        <v>192</v>
      </c>
      <c r="F16" s="21" t="s">
        <v>193</v>
      </c>
      <c r="G16" s="21" t="s">
        <v>194</v>
      </c>
      <c r="H16" s="21" t="s">
        <v>195</v>
      </c>
      <c r="I16" s="31" t="s">
        <v>113</v>
      </c>
      <c r="J16" s="23" t="s">
        <v>196</v>
      </c>
      <c r="K16" s="21" t="s">
        <v>197</v>
      </c>
      <c r="L16" s="25" t="s">
        <v>67</v>
      </c>
      <c r="M16" s="23" t="s">
        <v>172</v>
      </c>
      <c r="N16" s="23" t="s">
        <v>198</v>
      </c>
      <c r="O16" s="23"/>
      <c r="P16" s="21"/>
    </row>
    <row r="17" customFormat="false" ht="42" hidden="false" customHeight="true" outlineLevel="0" collapsed="false">
      <c r="A17" s="26" t="s">
        <v>199</v>
      </c>
      <c r="B17" s="27" t="s">
        <v>156</v>
      </c>
      <c r="C17" s="27" t="s">
        <v>200</v>
      </c>
      <c r="D17" s="27" t="s">
        <v>201</v>
      </c>
      <c r="E17" s="27" t="s">
        <v>202</v>
      </c>
      <c r="F17" s="27" t="s">
        <v>203</v>
      </c>
      <c r="G17" s="27" t="s">
        <v>170</v>
      </c>
      <c r="H17" s="27" t="s">
        <v>204</v>
      </c>
      <c r="I17" s="22" t="s">
        <v>64</v>
      </c>
      <c r="J17" s="28" t="s">
        <v>205</v>
      </c>
      <c r="K17" s="29" t="s">
        <v>206</v>
      </c>
      <c r="L17" s="25" t="s">
        <v>67</v>
      </c>
      <c r="M17" s="28" t="s">
        <v>207</v>
      </c>
      <c r="N17" s="28" t="s">
        <v>208</v>
      </c>
      <c r="O17" s="28"/>
      <c r="P17" s="27"/>
    </row>
    <row r="18" customFormat="false" ht="42" hidden="false" customHeight="true" outlineLevel="0" collapsed="false">
      <c r="A18" s="20" t="s">
        <v>209</v>
      </c>
      <c r="B18" s="21" t="s">
        <v>156</v>
      </c>
      <c r="C18" s="21" t="s">
        <v>200</v>
      </c>
      <c r="D18" s="21" t="s">
        <v>100</v>
      </c>
      <c r="E18" s="21" t="s">
        <v>210</v>
      </c>
      <c r="F18" s="21" t="s">
        <v>203</v>
      </c>
      <c r="G18" s="21" t="s">
        <v>211</v>
      </c>
      <c r="H18" s="24" t="s">
        <v>212</v>
      </c>
      <c r="I18" s="22" t="s">
        <v>64</v>
      </c>
      <c r="J18" s="23" t="s">
        <v>205</v>
      </c>
      <c r="K18" s="24" t="s">
        <v>206</v>
      </c>
      <c r="L18" s="25" t="s">
        <v>67</v>
      </c>
      <c r="M18" s="23" t="s">
        <v>207</v>
      </c>
      <c r="N18" s="23" t="s">
        <v>213</v>
      </c>
      <c r="O18" s="23"/>
      <c r="P18" s="21"/>
    </row>
    <row r="19" customFormat="false" ht="42" hidden="false" customHeight="true" outlineLevel="0" collapsed="false">
      <c r="A19" s="26" t="s">
        <v>214</v>
      </c>
      <c r="B19" s="27" t="s">
        <v>57</v>
      </c>
      <c r="C19" s="27" t="s">
        <v>215</v>
      </c>
      <c r="D19" s="27" t="s">
        <v>216</v>
      </c>
      <c r="E19" s="27" t="s">
        <v>217</v>
      </c>
      <c r="F19" s="27" t="s">
        <v>218</v>
      </c>
      <c r="G19" s="29" t="s">
        <v>219</v>
      </c>
      <c r="H19" s="27" t="s">
        <v>220</v>
      </c>
      <c r="I19" s="31" t="s">
        <v>113</v>
      </c>
      <c r="J19" s="28" t="s">
        <v>221</v>
      </c>
      <c r="K19" s="27" t="s">
        <v>222</v>
      </c>
      <c r="L19" s="25" t="s">
        <v>67</v>
      </c>
      <c r="M19" s="28" t="s">
        <v>207</v>
      </c>
      <c r="N19" s="28" t="s">
        <v>223</v>
      </c>
      <c r="O19" s="28"/>
      <c r="P19" s="27"/>
    </row>
    <row r="20" customFormat="false" ht="42" hidden="false" customHeight="true" outlineLevel="0" collapsed="false">
      <c r="A20" s="20" t="s">
        <v>224</v>
      </c>
      <c r="B20" s="21" t="s">
        <v>57</v>
      </c>
      <c r="C20" s="21" t="s">
        <v>225</v>
      </c>
      <c r="D20" s="21" t="s">
        <v>226</v>
      </c>
      <c r="E20" s="24" t="s">
        <v>227</v>
      </c>
      <c r="F20" s="21" t="s">
        <v>228</v>
      </c>
      <c r="G20" s="21" t="s">
        <v>229</v>
      </c>
      <c r="H20" s="21" t="s">
        <v>230</v>
      </c>
      <c r="I20" s="22" t="s">
        <v>64</v>
      </c>
      <c r="J20" s="23" t="s">
        <v>231</v>
      </c>
      <c r="K20" s="24" t="s">
        <v>232</v>
      </c>
      <c r="L20" s="25" t="s">
        <v>67</v>
      </c>
      <c r="M20" s="23" t="s">
        <v>207</v>
      </c>
      <c r="N20" s="23" t="s">
        <v>233</v>
      </c>
      <c r="O20" s="23"/>
      <c r="P20" s="21"/>
    </row>
    <row r="21" customFormat="false" ht="42" hidden="false" customHeight="true" outlineLevel="0" collapsed="false">
      <c r="A21" s="26" t="s">
        <v>234</v>
      </c>
      <c r="B21" s="27" t="s">
        <v>57</v>
      </c>
      <c r="C21" s="27" t="s">
        <v>225</v>
      </c>
      <c r="D21" s="27" t="s">
        <v>226</v>
      </c>
      <c r="E21" s="29" t="s">
        <v>235</v>
      </c>
      <c r="F21" s="27" t="s">
        <v>228</v>
      </c>
      <c r="G21" s="27" t="s">
        <v>236</v>
      </c>
      <c r="H21" s="27" t="s">
        <v>230</v>
      </c>
      <c r="I21" s="22" t="s">
        <v>64</v>
      </c>
      <c r="J21" s="28" t="s">
        <v>237</v>
      </c>
      <c r="K21" s="29" t="s">
        <v>232</v>
      </c>
      <c r="L21" s="25" t="s">
        <v>67</v>
      </c>
      <c r="M21" s="28" t="s">
        <v>207</v>
      </c>
      <c r="N21" s="28" t="s">
        <v>238</v>
      </c>
      <c r="O21" s="28"/>
      <c r="P21" s="27"/>
    </row>
    <row r="22" customFormat="false" ht="42" hidden="false" customHeight="true" outlineLevel="0" collapsed="false">
      <c r="A22" s="20" t="s">
        <v>239</v>
      </c>
      <c r="B22" s="21" t="s">
        <v>57</v>
      </c>
      <c r="C22" s="21" t="s">
        <v>225</v>
      </c>
      <c r="D22" s="21" t="s">
        <v>240</v>
      </c>
      <c r="E22" s="24" t="s">
        <v>241</v>
      </c>
      <c r="F22" s="21" t="s">
        <v>242</v>
      </c>
      <c r="G22" s="21" t="s">
        <v>243</v>
      </c>
      <c r="H22" s="21" t="s">
        <v>244</v>
      </c>
      <c r="I22" s="22" t="s">
        <v>64</v>
      </c>
      <c r="J22" s="23" t="s">
        <v>245</v>
      </c>
      <c r="K22" s="24" t="s">
        <v>246</v>
      </c>
      <c r="L22" s="25" t="s">
        <v>67</v>
      </c>
      <c r="M22" s="23" t="s">
        <v>207</v>
      </c>
      <c r="N22" s="23" t="s">
        <v>247</v>
      </c>
      <c r="O22" s="23"/>
      <c r="P22" s="21"/>
    </row>
    <row r="23" customFormat="false" ht="42" hidden="false" customHeight="true" outlineLevel="0" collapsed="false">
      <c r="A23" s="26" t="s">
        <v>248</v>
      </c>
      <c r="B23" s="27" t="s">
        <v>57</v>
      </c>
      <c r="C23" s="27" t="s">
        <v>225</v>
      </c>
      <c r="D23" s="27" t="s">
        <v>240</v>
      </c>
      <c r="E23" s="29" t="s">
        <v>249</v>
      </c>
      <c r="F23" s="27" t="s">
        <v>250</v>
      </c>
      <c r="G23" s="27" t="s">
        <v>251</v>
      </c>
      <c r="H23" s="27" t="s">
        <v>252</v>
      </c>
      <c r="I23" s="22" t="s">
        <v>64</v>
      </c>
      <c r="J23" s="28" t="s">
        <v>253</v>
      </c>
      <c r="K23" s="29" t="s">
        <v>246</v>
      </c>
      <c r="L23" s="25" t="s">
        <v>67</v>
      </c>
      <c r="M23" s="28" t="s">
        <v>207</v>
      </c>
      <c r="N23" s="28" t="s">
        <v>254</v>
      </c>
      <c r="O23" s="28"/>
      <c r="P23" s="27"/>
    </row>
    <row r="24" customFormat="false" ht="42" hidden="false" customHeight="true" outlineLevel="0" collapsed="false">
      <c r="A24" s="20" t="s">
        <v>255</v>
      </c>
      <c r="B24" s="21" t="s">
        <v>57</v>
      </c>
      <c r="C24" s="21" t="s">
        <v>225</v>
      </c>
      <c r="D24" s="21" t="s">
        <v>240</v>
      </c>
      <c r="E24" s="24" t="s">
        <v>256</v>
      </c>
      <c r="F24" s="21" t="s">
        <v>257</v>
      </c>
      <c r="G24" s="21" t="s">
        <v>258</v>
      </c>
      <c r="H24" s="21" t="s">
        <v>244</v>
      </c>
      <c r="I24" s="22" t="s">
        <v>64</v>
      </c>
      <c r="J24" s="23" t="s">
        <v>259</v>
      </c>
      <c r="K24" s="24" t="s">
        <v>246</v>
      </c>
      <c r="L24" s="25" t="s">
        <v>67</v>
      </c>
      <c r="M24" s="23" t="s">
        <v>207</v>
      </c>
      <c r="N24" s="23" t="s">
        <v>260</v>
      </c>
      <c r="O24" s="23"/>
      <c r="P24" s="21"/>
    </row>
    <row r="25" customFormat="false" ht="42" hidden="false" customHeight="true" outlineLevel="0" collapsed="false">
      <c r="A25" s="26" t="s">
        <v>261</v>
      </c>
      <c r="B25" s="27" t="s">
        <v>57</v>
      </c>
      <c r="C25" s="27" t="s">
        <v>225</v>
      </c>
      <c r="D25" s="27" t="s">
        <v>226</v>
      </c>
      <c r="E25" s="29" t="s">
        <v>262</v>
      </c>
      <c r="F25" s="27" t="s">
        <v>263</v>
      </c>
      <c r="G25" s="27" t="s">
        <v>264</v>
      </c>
      <c r="H25" s="27" t="s">
        <v>265</v>
      </c>
      <c r="I25" s="22" t="s">
        <v>64</v>
      </c>
      <c r="J25" s="28" t="s">
        <v>231</v>
      </c>
      <c r="K25" s="29" t="s">
        <v>266</v>
      </c>
      <c r="L25" s="25" t="s">
        <v>67</v>
      </c>
      <c r="M25" s="28" t="s">
        <v>207</v>
      </c>
      <c r="N25" s="28" t="s">
        <v>267</v>
      </c>
      <c r="O25" s="28"/>
      <c r="P25" s="27"/>
    </row>
    <row r="26" customFormat="false" ht="42" hidden="false" customHeight="true" outlineLevel="0" collapsed="false">
      <c r="A26" s="20" t="s">
        <v>268</v>
      </c>
      <c r="B26" s="21" t="s">
        <v>57</v>
      </c>
      <c r="C26" s="21" t="s">
        <v>225</v>
      </c>
      <c r="D26" s="21" t="s">
        <v>240</v>
      </c>
      <c r="E26" s="24" t="s">
        <v>269</v>
      </c>
      <c r="F26" s="21" t="s">
        <v>250</v>
      </c>
      <c r="G26" s="21" t="s">
        <v>270</v>
      </c>
      <c r="H26" s="21" t="s">
        <v>271</v>
      </c>
      <c r="I26" s="22" t="s">
        <v>64</v>
      </c>
      <c r="J26" s="23" t="s">
        <v>253</v>
      </c>
      <c r="K26" s="24" t="s">
        <v>246</v>
      </c>
      <c r="L26" s="25" t="s">
        <v>67</v>
      </c>
      <c r="M26" s="23" t="s">
        <v>207</v>
      </c>
      <c r="N26" s="23" t="s">
        <v>272</v>
      </c>
      <c r="O26" s="23"/>
      <c r="P26" s="21"/>
    </row>
    <row r="27" customFormat="false" ht="42" hidden="false" customHeight="true" outlineLevel="0" collapsed="false">
      <c r="A27" s="26" t="s">
        <v>273</v>
      </c>
      <c r="B27" s="27" t="s">
        <v>57</v>
      </c>
      <c r="C27" s="27" t="s">
        <v>225</v>
      </c>
      <c r="D27" s="27" t="s">
        <v>226</v>
      </c>
      <c r="E27" s="29" t="s">
        <v>274</v>
      </c>
      <c r="F27" s="27" t="s">
        <v>275</v>
      </c>
      <c r="G27" s="27" t="s">
        <v>276</v>
      </c>
      <c r="H27" s="27" t="s">
        <v>277</v>
      </c>
      <c r="I27" s="22" t="s">
        <v>64</v>
      </c>
      <c r="J27" s="28" t="s">
        <v>231</v>
      </c>
      <c r="K27" s="29" t="s">
        <v>266</v>
      </c>
      <c r="L27" s="25" t="s">
        <v>67</v>
      </c>
      <c r="M27" s="28" t="s">
        <v>207</v>
      </c>
      <c r="N27" s="28" t="s">
        <v>278</v>
      </c>
      <c r="O27" s="28"/>
      <c r="P27" s="27"/>
    </row>
    <row r="28" customFormat="false" ht="42" hidden="false" customHeight="true" outlineLevel="0" collapsed="false">
      <c r="A28" s="20" t="s">
        <v>279</v>
      </c>
      <c r="B28" s="21" t="s">
        <v>57</v>
      </c>
      <c r="C28" s="21" t="s">
        <v>225</v>
      </c>
      <c r="D28" s="21" t="s">
        <v>240</v>
      </c>
      <c r="E28" s="24" t="s">
        <v>280</v>
      </c>
      <c r="F28" s="21" t="s">
        <v>281</v>
      </c>
      <c r="G28" s="21" t="s">
        <v>282</v>
      </c>
      <c r="H28" s="21" t="s">
        <v>283</v>
      </c>
      <c r="I28" s="22" t="s">
        <v>64</v>
      </c>
      <c r="J28" s="23" t="s">
        <v>284</v>
      </c>
      <c r="K28" s="24" t="s">
        <v>246</v>
      </c>
      <c r="L28" s="25" t="s">
        <v>67</v>
      </c>
      <c r="M28" s="23" t="s">
        <v>207</v>
      </c>
      <c r="N28" s="23" t="s">
        <v>285</v>
      </c>
      <c r="O28" s="23"/>
      <c r="P28" s="21"/>
    </row>
    <row r="29" customFormat="false" ht="42" hidden="false" customHeight="true" outlineLevel="0" collapsed="false">
      <c r="A29" s="26" t="s">
        <v>286</v>
      </c>
      <c r="B29" s="27" t="s">
        <v>57</v>
      </c>
      <c r="C29" s="27" t="s">
        <v>225</v>
      </c>
      <c r="D29" s="27" t="s">
        <v>226</v>
      </c>
      <c r="E29" s="29" t="s">
        <v>287</v>
      </c>
      <c r="F29" s="27" t="s">
        <v>288</v>
      </c>
      <c r="G29" s="29" t="s">
        <v>289</v>
      </c>
      <c r="H29" s="27" t="s">
        <v>290</v>
      </c>
      <c r="I29" s="22" t="s">
        <v>64</v>
      </c>
      <c r="J29" s="28" t="s">
        <v>291</v>
      </c>
      <c r="K29" s="29" t="s">
        <v>232</v>
      </c>
      <c r="L29" s="25" t="s">
        <v>67</v>
      </c>
      <c r="M29" s="28" t="s">
        <v>207</v>
      </c>
      <c r="N29" s="28" t="s">
        <v>292</v>
      </c>
      <c r="O29" s="28"/>
      <c r="P29" s="27"/>
    </row>
    <row r="30" customFormat="false" ht="42" hidden="false" customHeight="true" outlineLevel="0" collapsed="false">
      <c r="A30" s="20" t="s">
        <v>293</v>
      </c>
      <c r="B30" s="21" t="s">
        <v>57</v>
      </c>
      <c r="C30" s="21" t="s">
        <v>225</v>
      </c>
      <c r="D30" s="21" t="s">
        <v>100</v>
      </c>
      <c r="E30" s="21" t="s">
        <v>294</v>
      </c>
      <c r="F30" s="21" t="s">
        <v>295</v>
      </c>
      <c r="G30" s="21" t="s">
        <v>296</v>
      </c>
      <c r="H30" s="24" t="s">
        <v>297</v>
      </c>
      <c r="I30" s="22" t="s">
        <v>64</v>
      </c>
      <c r="J30" s="23" t="s">
        <v>231</v>
      </c>
      <c r="K30" s="24" t="s">
        <v>232</v>
      </c>
      <c r="L30" s="25" t="s">
        <v>67</v>
      </c>
      <c r="M30" s="23" t="s">
        <v>207</v>
      </c>
      <c r="N30" s="23" t="s">
        <v>298</v>
      </c>
      <c r="O30" s="23"/>
      <c r="P30" s="21"/>
    </row>
    <row r="31" customFormat="false" ht="42" hidden="false" customHeight="true" outlineLevel="0" collapsed="false">
      <c r="A31" s="26" t="s">
        <v>299</v>
      </c>
      <c r="B31" s="27" t="s">
        <v>57</v>
      </c>
      <c r="C31" s="27" t="s">
        <v>225</v>
      </c>
      <c r="D31" s="27" t="s">
        <v>240</v>
      </c>
      <c r="E31" s="29" t="s">
        <v>300</v>
      </c>
      <c r="F31" s="27" t="s">
        <v>301</v>
      </c>
      <c r="G31" s="27" t="s">
        <v>302</v>
      </c>
      <c r="H31" s="27" t="s">
        <v>252</v>
      </c>
      <c r="I31" s="22" t="s">
        <v>64</v>
      </c>
      <c r="J31" s="28" t="s">
        <v>245</v>
      </c>
      <c r="K31" s="29" t="s">
        <v>246</v>
      </c>
      <c r="L31" s="25" t="s">
        <v>67</v>
      </c>
      <c r="M31" s="28" t="s">
        <v>207</v>
      </c>
      <c r="N31" s="28" t="s">
        <v>303</v>
      </c>
      <c r="O31" s="28"/>
      <c r="P31" s="27"/>
    </row>
    <row r="32" customFormat="false" ht="42" hidden="false" customHeight="true" outlineLevel="0" collapsed="false">
      <c r="A32" s="20" t="s">
        <v>304</v>
      </c>
      <c r="B32" s="21" t="s">
        <v>57</v>
      </c>
      <c r="C32" s="21" t="s">
        <v>225</v>
      </c>
      <c r="D32" s="21" t="s">
        <v>226</v>
      </c>
      <c r="E32" s="24" t="s">
        <v>305</v>
      </c>
      <c r="F32" s="21" t="s">
        <v>306</v>
      </c>
      <c r="G32" s="21" t="s">
        <v>229</v>
      </c>
      <c r="H32" s="21" t="s">
        <v>307</v>
      </c>
      <c r="I32" s="22" t="s">
        <v>64</v>
      </c>
      <c r="J32" s="23" t="s">
        <v>231</v>
      </c>
      <c r="K32" s="24" t="s">
        <v>232</v>
      </c>
      <c r="L32" s="25" t="s">
        <v>67</v>
      </c>
      <c r="M32" s="23" t="s">
        <v>207</v>
      </c>
      <c r="N32" s="23" t="s">
        <v>308</v>
      </c>
      <c r="O32" s="23"/>
      <c r="P32" s="21"/>
    </row>
    <row r="33" customFormat="false" ht="42" hidden="false" customHeight="true" outlineLevel="0" collapsed="false">
      <c r="A33" s="26" t="s">
        <v>309</v>
      </c>
      <c r="B33" s="27" t="s">
        <v>310</v>
      </c>
      <c r="C33" s="27" t="s">
        <v>311</v>
      </c>
      <c r="D33" s="27" t="s">
        <v>312</v>
      </c>
      <c r="E33" s="27" t="s">
        <v>313</v>
      </c>
      <c r="F33" s="27" t="s">
        <v>314</v>
      </c>
      <c r="G33" s="27" t="s">
        <v>315</v>
      </c>
      <c r="H33" s="27" t="s">
        <v>316</v>
      </c>
      <c r="I33" s="31" t="s">
        <v>113</v>
      </c>
      <c r="J33" s="28" t="s">
        <v>317</v>
      </c>
      <c r="K33" s="29" t="s">
        <v>318</v>
      </c>
      <c r="L33" s="25" t="s">
        <v>67</v>
      </c>
      <c r="M33" s="28" t="s">
        <v>207</v>
      </c>
      <c r="N33" s="28" t="s">
        <v>319</v>
      </c>
      <c r="O33" s="28"/>
      <c r="P33" s="27"/>
    </row>
    <row r="34" customFormat="false" ht="42" hidden="false" customHeight="true" outlineLevel="0" collapsed="false">
      <c r="A34" s="20" t="s">
        <v>320</v>
      </c>
      <c r="B34" s="21" t="s">
        <v>310</v>
      </c>
      <c r="C34" s="21" t="s">
        <v>311</v>
      </c>
      <c r="D34" s="21" t="s">
        <v>321</v>
      </c>
      <c r="E34" s="21" t="s">
        <v>322</v>
      </c>
      <c r="F34" s="21" t="s">
        <v>323</v>
      </c>
      <c r="G34" s="21" t="s">
        <v>324</v>
      </c>
      <c r="H34" s="21" t="s">
        <v>325</v>
      </c>
      <c r="I34" s="31" t="s">
        <v>113</v>
      </c>
      <c r="J34" s="23" t="s">
        <v>326</v>
      </c>
      <c r="K34" s="24" t="s">
        <v>327</v>
      </c>
      <c r="L34" s="25" t="s">
        <v>67</v>
      </c>
      <c r="M34" s="23" t="s">
        <v>328</v>
      </c>
      <c r="N34" s="23" t="s">
        <v>329</v>
      </c>
      <c r="O34" s="23"/>
      <c r="P34" s="21"/>
    </row>
    <row r="35" customFormat="false" ht="42" hidden="false" customHeight="true" outlineLevel="0" collapsed="false">
      <c r="A35" s="26" t="s">
        <v>330</v>
      </c>
      <c r="B35" s="27" t="s">
        <v>310</v>
      </c>
      <c r="C35" s="27" t="s">
        <v>311</v>
      </c>
      <c r="D35" s="27" t="s">
        <v>331</v>
      </c>
      <c r="E35" s="27" t="s">
        <v>332</v>
      </c>
      <c r="F35" s="27" t="s">
        <v>333</v>
      </c>
      <c r="G35" s="27" t="s">
        <v>334</v>
      </c>
      <c r="H35" s="27" t="s">
        <v>335</v>
      </c>
      <c r="I35" s="31" t="s">
        <v>113</v>
      </c>
      <c r="J35" s="28" t="s">
        <v>326</v>
      </c>
      <c r="K35" s="29" t="s">
        <v>327</v>
      </c>
      <c r="L35" s="25" t="s">
        <v>67</v>
      </c>
      <c r="M35" s="28" t="s">
        <v>328</v>
      </c>
      <c r="N35" s="28" t="s">
        <v>336</v>
      </c>
      <c r="O35" s="28"/>
      <c r="P35" s="27"/>
    </row>
    <row r="36" customFormat="false" ht="42" hidden="false" customHeight="true" outlineLevel="0" collapsed="false">
      <c r="A36" s="20" t="s">
        <v>337</v>
      </c>
      <c r="B36" s="21" t="s">
        <v>310</v>
      </c>
      <c r="C36" s="21" t="s">
        <v>311</v>
      </c>
      <c r="D36" s="21" t="s">
        <v>338</v>
      </c>
      <c r="E36" s="21" t="s">
        <v>339</v>
      </c>
      <c r="F36" s="21" t="s">
        <v>340</v>
      </c>
      <c r="G36" s="21" t="s">
        <v>341</v>
      </c>
      <c r="H36" s="21" t="s">
        <v>342</v>
      </c>
      <c r="I36" s="31" t="s">
        <v>113</v>
      </c>
      <c r="J36" s="23" t="s">
        <v>326</v>
      </c>
      <c r="K36" s="24" t="s">
        <v>327</v>
      </c>
      <c r="L36" s="25" t="s">
        <v>67</v>
      </c>
      <c r="M36" s="23" t="s">
        <v>328</v>
      </c>
      <c r="N36" s="23" t="s">
        <v>343</v>
      </c>
      <c r="O36" s="23"/>
      <c r="P36" s="21"/>
    </row>
    <row r="37" customFormat="false" ht="42" hidden="false" customHeight="true" outlineLevel="0" collapsed="false">
      <c r="A37" s="26" t="s">
        <v>344</v>
      </c>
      <c r="B37" s="27" t="s">
        <v>310</v>
      </c>
      <c r="C37" s="27" t="s">
        <v>345</v>
      </c>
      <c r="D37" s="27" t="s">
        <v>346</v>
      </c>
      <c r="E37" s="27" t="s">
        <v>347</v>
      </c>
      <c r="F37" s="27" t="s">
        <v>348</v>
      </c>
      <c r="G37" s="27" t="s">
        <v>349</v>
      </c>
      <c r="H37" s="27" t="s">
        <v>350</v>
      </c>
      <c r="I37" s="31" t="s">
        <v>113</v>
      </c>
      <c r="J37" s="28" t="s">
        <v>351</v>
      </c>
      <c r="K37" s="29" t="s">
        <v>352</v>
      </c>
      <c r="L37" s="25" t="s">
        <v>67</v>
      </c>
      <c r="M37" s="28" t="s">
        <v>328</v>
      </c>
      <c r="N37" s="28" t="s">
        <v>353</v>
      </c>
      <c r="O37" s="30" t="s">
        <v>354</v>
      </c>
      <c r="P37" s="27" t="s">
        <v>355</v>
      </c>
    </row>
    <row r="38" customFormat="false" ht="42" hidden="false" customHeight="true" outlineLevel="0" collapsed="false">
      <c r="A38" s="20" t="s">
        <v>356</v>
      </c>
      <c r="B38" s="21" t="s">
        <v>57</v>
      </c>
      <c r="C38" s="21" t="s">
        <v>357</v>
      </c>
      <c r="D38" s="21" t="s">
        <v>358</v>
      </c>
      <c r="E38" s="21" t="s">
        <v>359</v>
      </c>
      <c r="F38" s="21" t="s">
        <v>360</v>
      </c>
      <c r="G38" s="21" t="s">
        <v>361</v>
      </c>
      <c r="H38" s="21" t="s">
        <v>362</v>
      </c>
      <c r="I38" s="31" t="s">
        <v>113</v>
      </c>
      <c r="J38" s="23" t="s">
        <v>363</v>
      </c>
      <c r="K38" s="21" t="s">
        <v>364</v>
      </c>
      <c r="L38" s="25" t="s">
        <v>67</v>
      </c>
      <c r="M38" s="23" t="s">
        <v>328</v>
      </c>
      <c r="N38" s="23" t="s">
        <v>365</v>
      </c>
      <c r="O38" s="23"/>
      <c r="P38" s="21"/>
    </row>
    <row r="39" customFormat="false" ht="42" hidden="false" customHeight="true" outlineLevel="0" collapsed="false">
      <c r="A39" s="26" t="s">
        <v>366</v>
      </c>
      <c r="B39" s="27" t="s">
        <v>310</v>
      </c>
      <c r="C39" s="27" t="s">
        <v>367</v>
      </c>
      <c r="D39" s="27" t="s">
        <v>368</v>
      </c>
      <c r="E39" s="27" t="s">
        <v>369</v>
      </c>
      <c r="F39" s="27" t="s">
        <v>370</v>
      </c>
      <c r="G39" s="27" t="s">
        <v>371</v>
      </c>
      <c r="H39" s="27" t="s">
        <v>372</v>
      </c>
      <c r="I39" s="31" t="s">
        <v>113</v>
      </c>
      <c r="J39" s="28" t="s">
        <v>373</v>
      </c>
      <c r="K39" s="27" t="s">
        <v>374</v>
      </c>
      <c r="L39" s="25" t="s">
        <v>67</v>
      </c>
      <c r="M39" s="28" t="s">
        <v>328</v>
      </c>
      <c r="N39" s="28" t="s">
        <v>375</v>
      </c>
      <c r="O39" s="28"/>
      <c r="P39" s="27"/>
    </row>
    <row r="40" customFormat="false" ht="42" hidden="false" customHeight="true" outlineLevel="0" collapsed="false">
      <c r="A40" s="20" t="s">
        <v>376</v>
      </c>
      <c r="B40" s="21" t="s">
        <v>310</v>
      </c>
      <c r="C40" s="21" t="s">
        <v>367</v>
      </c>
      <c r="D40" s="21" t="s">
        <v>377</v>
      </c>
      <c r="E40" s="21" t="s">
        <v>378</v>
      </c>
      <c r="F40" s="21" t="s">
        <v>379</v>
      </c>
      <c r="G40" s="21" t="s">
        <v>380</v>
      </c>
      <c r="H40" s="21" t="s">
        <v>381</v>
      </c>
      <c r="I40" s="31" t="s">
        <v>113</v>
      </c>
      <c r="J40" s="23" t="s">
        <v>382</v>
      </c>
      <c r="K40" s="21" t="s">
        <v>383</v>
      </c>
      <c r="L40" s="25" t="s">
        <v>67</v>
      </c>
      <c r="M40" s="23" t="s">
        <v>328</v>
      </c>
      <c r="N40" s="23" t="s">
        <v>384</v>
      </c>
      <c r="O40" s="23"/>
      <c r="P40" s="21"/>
    </row>
    <row r="41" customFormat="false" ht="42" hidden="false" customHeight="true" outlineLevel="0" collapsed="false">
      <c r="A41" s="26" t="s">
        <v>385</v>
      </c>
      <c r="B41" s="27" t="s">
        <v>156</v>
      </c>
      <c r="C41" s="27" t="s">
        <v>386</v>
      </c>
      <c r="D41" s="27" t="s">
        <v>387</v>
      </c>
      <c r="E41" s="27" t="s">
        <v>388</v>
      </c>
      <c r="F41" s="27" t="s">
        <v>389</v>
      </c>
      <c r="G41" s="27" t="s">
        <v>390</v>
      </c>
      <c r="H41" s="27" t="s">
        <v>391</v>
      </c>
      <c r="I41" s="31" t="s">
        <v>113</v>
      </c>
      <c r="J41" s="28" t="s">
        <v>392</v>
      </c>
      <c r="K41" s="27" t="s">
        <v>393</v>
      </c>
      <c r="L41" s="25" t="s">
        <v>67</v>
      </c>
      <c r="M41" s="28" t="s">
        <v>328</v>
      </c>
      <c r="N41" s="28" t="s">
        <v>394</v>
      </c>
      <c r="O41" s="28"/>
      <c r="P41" s="27"/>
    </row>
    <row r="42" customFormat="false" ht="42" hidden="false" customHeight="true" outlineLevel="0" collapsed="false">
      <c r="A42" s="20" t="s">
        <v>395</v>
      </c>
      <c r="B42" s="21" t="s">
        <v>156</v>
      </c>
      <c r="C42" s="21" t="s">
        <v>386</v>
      </c>
      <c r="D42" s="21" t="s">
        <v>396</v>
      </c>
      <c r="E42" s="21" t="s">
        <v>397</v>
      </c>
      <c r="F42" s="21" t="s">
        <v>398</v>
      </c>
      <c r="G42" s="21" t="s">
        <v>399</v>
      </c>
      <c r="H42" s="24" t="s">
        <v>400</v>
      </c>
      <c r="I42" s="31" t="s">
        <v>113</v>
      </c>
      <c r="J42" s="23" t="s">
        <v>401</v>
      </c>
      <c r="K42" s="21" t="s">
        <v>402</v>
      </c>
      <c r="L42" s="25" t="s">
        <v>67</v>
      </c>
      <c r="M42" s="23" t="s">
        <v>328</v>
      </c>
      <c r="N42" s="23" t="s">
        <v>403</v>
      </c>
      <c r="O42" s="23"/>
      <c r="P42" s="21"/>
    </row>
    <row r="43" customFormat="false" ht="42" hidden="false" customHeight="true" outlineLevel="0" collapsed="false">
      <c r="A43" s="26" t="s">
        <v>404</v>
      </c>
      <c r="B43" s="27" t="s">
        <v>405</v>
      </c>
      <c r="C43" s="27" t="s">
        <v>406</v>
      </c>
      <c r="D43" s="27" t="s">
        <v>407</v>
      </c>
      <c r="E43" s="27" t="s">
        <v>408</v>
      </c>
      <c r="F43" s="27" t="s">
        <v>409</v>
      </c>
      <c r="G43" s="27" t="s">
        <v>410</v>
      </c>
      <c r="H43" s="27" t="s">
        <v>411</v>
      </c>
      <c r="I43" s="22" t="s">
        <v>64</v>
      </c>
      <c r="J43" s="28" t="s">
        <v>412</v>
      </c>
      <c r="K43" s="29" t="s">
        <v>413</v>
      </c>
      <c r="L43" s="25" t="s">
        <v>67</v>
      </c>
      <c r="M43" s="28" t="s">
        <v>328</v>
      </c>
      <c r="N43" s="28" t="s">
        <v>414</v>
      </c>
      <c r="O43" s="28"/>
      <c r="P43" s="27"/>
    </row>
    <row r="44" customFormat="false" ht="42" hidden="false" customHeight="true" outlineLevel="0" collapsed="false">
      <c r="A44" s="20" t="s">
        <v>415</v>
      </c>
      <c r="B44" s="21" t="s">
        <v>405</v>
      </c>
      <c r="C44" s="21" t="s">
        <v>406</v>
      </c>
      <c r="D44" s="21" t="s">
        <v>407</v>
      </c>
      <c r="E44" s="21" t="s">
        <v>416</v>
      </c>
      <c r="F44" s="21" t="s">
        <v>417</v>
      </c>
      <c r="G44" s="21" t="s">
        <v>418</v>
      </c>
      <c r="H44" s="21" t="s">
        <v>411</v>
      </c>
      <c r="I44" s="22" t="s">
        <v>64</v>
      </c>
      <c r="J44" s="23" t="s">
        <v>412</v>
      </c>
      <c r="K44" s="24" t="s">
        <v>413</v>
      </c>
      <c r="L44" s="25" t="s">
        <v>67</v>
      </c>
      <c r="M44" s="23" t="s">
        <v>328</v>
      </c>
      <c r="N44" s="23" t="s">
        <v>419</v>
      </c>
      <c r="O44" s="23"/>
      <c r="P44" s="21"/>
    </row>
    <row r="45" customFormat="false" ht="42" hidden="false" customHeight="true" outlineLevel="0" collapsed="false">
      <c r="A45" s="26" t="s">
        <v>420</v>
      </c>
      <c r="B45" s="27" t="s">
        <v>405</v>
      </c>
      <c r="C45" s="27" t="s">
        <v>406</v>
      </c>
      <c r="D45" s="27" t="s">
        <v>407</v>
      </c>
      <c r="E45" s="27" t="s">
        <v>421</v>
      </c>
      <c r="F45" s="27" t="s">
        <v>422</v>
      </c>
      <c r="G45" s="27" t="s">
        <v>423</v>
      </c>
      <c r="H45" s="27" t="s">
        <v>411</v>
      </c>
      <c r="I45" s="22" t="s">
        <v>64</v>
      </c>
      <c r="J45" s="28" t="s">
        <v>412</v>
      </c>
      <c r="K45" s="29" t="s">
        <v>413</v>
      </c>
      <c r="L45" s="25" t="s">
        <v>67</v>
      </c>
      <c r="M45" s="28" t="s">
        <v>328</v>
      </c>
      <c r="N45" s="28" t="s">
        <v>424</v>
      </c>
      <c r="O45" s="28"/>
      <c r="P45" s="27"/>
    </row>
    <row r="46" customFormat="false" ht="42" hidden="false" customHeight="true" outlineLevel="0" collapsed="false">
      <c r="A46" s="20" t="s">
        <v>425</v>
      </c>
      <c r="B46" s="21" t="s">
        <v>310</v>
      </c>
      <c r="C46" s="21" t="s">
        <v>311</v>
      </c>
      <c r="D46" s="21" t="s">
        <v>331</v>
      </c>
      <c r="E46" s="21" t="s">
        <v>426</v>
      </c>
      <c r="F46" s="21" t="s">
        <v>427</v>
      </c>
      <c r="G46" s="24" t="s">
        <v>428</v>
      </c>
      <c r="H46" s="21" t="s">
        <v>335</v>
      </c>
      <c r="I46" s="31" t="s">
        <v>113</v>
      </c>
      <c r="J46" s="23" t="s">
        <v>429</v>
      </c>
      <c r="K46" s="24" t="s">
        <v>327</v>
      </c>
      <c r="L46" s="32" t="s">
        <v>430</v>
      </c>
      <c r="M46" s="23" t="s">
        <v>430</v>
      </c>
      <c r="N46" s="23" t="s">
        <v>430</v>
      </c>
      <c r="O46" s="23"/>
      <c r="P46" s="21" t="s">
        <v>431</v>
      </c>
    </row>
    <row r="47" customFormat="false" ht="42" hidden="false" customHeight="true" outlineLevel="0" collapsed="false">
      <c r="A47" s="26" t="s">
        <v>432</v>
      </c>
      <c r="B47" s="27" t="s">
        <v>310</v>
      </c>
      <c r="C47" s="27" t="s">
        <v>311</v>
      </c>
      <c r="D47" s="27" t="s">
        <v>338</v>
      </c>
      <c r="E47" s="27" t="s">
        <v>433</v>
      </c>
      <c r="F47" s="27" t="s">
        <v>434</v>
      </c>
      <c r="G47" s="29" t="s">
        <v>435</v>
      </c>
      <c r="H47" s="27" t="s">
        <v>436</v>
      </c>
      <c r="I47" s="31" t="s">
        <v>113</v>
      </c>
      <c r="J47" s="28" t="s">
        <v>429</v>
      </c>
      <c r="K47" s="29" t="s">
        <v>327</v>
      </c>
      <c r="L47" s="32" t="s">
        <v>430</v>
      </c>
      <c r="M47" s="28" t="s">
        <v>430</v>
      </c>
      <c r="N47" s="28" t="s">
        <v>430</v>
      </c>
      <c r="O47" s="30" t="s">
        <v>437</v>
      </c>
      <c r="P47" s="29" t="s">
        <v>438</v>
      </c>
    </row>
  </sheetData>
  <autoFilter ref="A1:P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7"/>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0"/>
    <col collapsed="false" customWidth="true" hidden="false" outlineLevel="0" max="2" min="2" style="0" width="17"/>
    <col collapsed="false" customWidth="true" hidden="false" outlineLevel="0" max="3" min="3" style="0" width="11"/>
    <col collapsed="false" customWidth="true" hidden="false" outlineLevel="0" max="4" min="4" style="0" width="13"/>
    <col collapsed="false" customWidth="true" hidden="false" outlineLevel="0" max="5" min="5" style="0" width="14"/>
    <col collapsed="false" customWidth="true" hidden="false" outlineLevel="0" max="6" min="6" style="0" width="7"/>
    <col collapsed="false" customWidth="true" hidden="false" outlineLevel="0" max="8" min="7" style="0" width="9"/>
    <col collapsed="false" customWidth="true" hidden="false" outlineLevel="0" max="9" min="9" style="0" width="26"/>
    <col collapsed="false" customWidth="true" hidden="false" outlineLevel="0" max="10" min="10" style="0" width="12"/>
    <col collapsed="false" customWidth="true" hidden="false" outlineLevel="0" max="11" min="11" style="0" width="34"/>
  </cols>
  <sheetData>
    <row r="1" customFormat="false" ht="24" hidden="false" customHeight="true" outlineLevel="0" collapsed="false">
      <c r="A1" s="18" t="s">
        <v>439</v>
      </c>
      <c r="B1" s="19" t="s">
        <v>440</v>
      </c>
      <c r="C1" s="19" t="s">
        <v>441</v>
      </c>
      <c r="D1" s="19" t="s">
        <v>442</v>
      </c>
      <c r="E1" s="19" t="s">
        <v>443</v>
      </c>
      <c r="F1" s="19" t="s">
        <v>444</v>
      </c>
      <c r="G1" s="18" t="s">
        <v>445</v>
      </c>
      <c r="H1" s="19" t="s">
        <v>446</v>
      </c>
      <c r="I1" s="19" t="s">
        <v>447</v>
      </c>
      <c r="J1" s="19" t="s">
        <v>448</v>
      </c>
      <c r="K1" s="19" t="s">
        <v>15</v>
      </c>
    </row>
    <row r="2" customFormat="false" ht="30" hidden="false" customHeight="true" outlineLevel="0" collapsed="false">
      <c r="A2" s="23" t="s">
        <v>449</v>
      </c>
      <c r="B2" s="24" t="s">
        <v>450</v>
      </c>
      <c r="C2" s="21" t="s">
        <v>8</v>
      </c>
      <c r="D2" s="24" t="s">
        <v>451</v>
      </c>
      <c r="E2" s="24" t="s">
        <v>452</v>
      </c>
      <c r="F2" s="33" t="s">
        <v>453</v>
      </c>
      <c r="G2" s="23" t="s">
        <v>70</v>
      </c>
      <c r="H2" s="34" t="s">
        <v>454</v>
      </c>
      <c r="I2" s="24" t="s">
        <v>455</v>
      </c>
      <c r="J2" s="23" t="s">
        <v>80</v>
      </c>
      <c r="K2" s="24" t="s">
        <v>456</v>
      </c>
    </row>
    <row r="3" customFormat="false" ht="30" hidden="false" customHeight="true" outlineLevel="0" collapsed="false">
      <c r="A3" s="28" t="s">
        <v>457</v>
      </c>
      <c r="B3" s="29" t="s">
        <v>458</v>
      </c>
      <c r="C3" s="27" t="s">
        <v>8</v>
      </c>
      <c r="D3" s="29" t="s">
        <v>451</v>
      </c>
      <c r="E3" s="29" t="s">
        <v>452</v>
      </c>
      <c r="F3" s="35" t="s">
        <v>453</v>
      </c>
      <c r="G3" s="28" t="s">
        <v>82</v>
      </c>
      <c r="H3" s="34" t="s">
        <v>454</v>
      </c>
      <c r="I3" s="29" t="s">
        <v>459</v>
      </c>
      <c r="J3" s="28" t="s">
        <v>80</v>
      </c>
      <c r="K3" s="29" t="s">
        <v>460</v>
      </c>
    </row>
    <row r="4" customFormat="false" ht="30" hidden="false" customHeight="true" outlineLevel="0" collapsed="false">
      <c r="A4" s="23" t="s">
        <v>79</v>
      </c>
      <c r="B4" s="24" t="s">
        <v>461</v>
      </c>
      <c r="C4" s="21" t="s">
        <v>8</v>
      </c>
      <c r="D4" s="24" t="s">
        <v>451</v>
      </c>
      <c r="E4" s="24" t="s">
        <v>462</v>
      </c>
      <c r="F4" s="33" t="s">
        <v>37</v>
      </c>
      <c r="G4" s="23" t="s">
        <v>70</v>
      </c>
      <c r="H4" s="25" t="s">
        <v>67</v>
      </c>
      <c r="I4" s="24" t="s">
        <v>463</v>
      </c>
      <c r="J4" s="23" t="s">
        <v>80</v>
      </c>
      <c r="K4" s="21" t="s">
        <v>464</v>
      </c>
    </row>
    <row r="5" customFormat="false" ht="30" hidden="false" customHeight="true" outlineLevel="0" collapsed="false">
      <c r="A5" s="28" t="s">
        <v>88</v>
      </c>
      <c r="B5" s="29" t="s">
        <v>465</v>
      </c>
      <c r="C5" s="27" t="s">
        <v>8</v>
      </c>
      <c r="D5" s="29" t="s">
        <v>451</v>
      </c>
      <c r="E5" s="29" t="s">
        <v>462</v>
      </c>
      <c r="F5" s="35" t="s">
        <v>37</v>
      </c>
      <c r="G5" s="28" t="s">
        <v>82</v>
      </c>
      <c r="H5" s="25" t="s">
        <v>67</v>
      </c>
      <c r="I5" s="29" t="s">
        <v>466</v>
      </c>
      <c r="J5" s="28" t="s">
        <v>80</v>
      </c>
      <c r="K5" s="29" t="s">
        <v>467</v>
      </c>
    </row>
    <row r="6" customFormat="false" ht="30" hidden="false" customHeight="true" outlineLevel="0" collapsed="false">
      <c r="A6" s="23" t="s">
        <v>69</v>
      </c>
      <c r="B6" s="24" t="s">
        <v>468</v>
      </c>
      <c r="C6" s="21" t="s">
        <v>8</v>
      </c>
      <c r="D6" s="24" t="s">
        <v>451</v>
      </c>
      <c r="E6" s="24" t="s">
        <v>462</v>
      </c>
      <c r="F6" s="33" t="s">
        <v>453</v>
      </c>
      <c r="G6" s="23" t="s">
        <v>56</v>
      </c>
      <c r="H6" s="25" t="s">
        <v>67</v>
      </c>
      <c r="I6" s="24" t="s">
        <v>469</v>
      </c>
      <c r="J6" s="33"/>
      <c r="K6" s="21"/>
    </row>
    <row r="7" customFormat="false" ht="30" hidden="false" customHeight="true" outlineLevel="0" collapsed="false">
      <c r="A7" s="28" t="s">
        <v>98</v>
      </c>
      <c r="B7" s="29" t="s">
        <v>470</v>
      </c>
      <c r="C7" s="27" t="s">
        <v>8</v>
      </c>
      <c r="D7" s="29" t="s">
        <v>451</v>
      </c>
      <c r="E7" s="29" t="s">
        <v>462</v>
      </c>
      <c r="F7" s="35" t="s">
        <v>453</v>
      </c>
      <c r="G7" s="28" t="s">
        <v>89</v>
      </c>
      <c r="H7" s="25" t="s">
        <v>67</v>
      </c>
      <c r="I7" s="29" t="s">
        <v>471</v>
      </c>
      <c r="J7" s="35"/>
      <c r="K7" s="27"/>
    </row>
    <row r="8" customFormat="false" ht="30" hidden="false" customHeight="true" outlineLevel="0" collapsed="false">
      <c r="A8" s="23" t="s">
        <v>105</v>
      </c>
      <c r="B8" s="24" t="s">
        <v>472</v>
      </c>
      <c r="C8" s="21" t="s">
        <v>8</v>
      </c>
      <c r="D8" s="24" t="s">
        <v>451</v>
      </c>
      <c r="E8" s="24" t="s">
        <v>462</v>
      </c>
      <c r="F8" s="33" t="s">
        <v>453</v>
      </c>
      <c r="G8" s="23" t="s">
        <v>99</v>
      </c>
      <c r="H8" s="25" t="s">
        <v>67</v>
      </c>
      <c r="I8" s="24" t="s">
        <v>473</v>
      </c>
      <c r="J8" s="33"/>
      <c r="K8" s="21"/>
    </row>
    <row r="9" customFormat="false" ht="30" hidden="false" customHeight="true" outlineLevel="0" collapsed="false">
      <c r="A9" s="28" t="s">
        <v>117</v>
      </c>
      <c r="B9" s="29" t="s">
        <v>474</v>
      </c>
      <c r="C9" s="27" t="s">
        <v>8</v>
      </c>
      <c r="D9" s="29" t="s">
        <v>451</v>
      </c>
      <c r="E9" s="29" t="s">
        <v>462</v>
      </c>
      <c r="F9" s="35" t="s">
        <v>453</v>
      </c>
      <c r="G9" s="28" t="s">
        <v>106</v>
      </c>
      <c r="H9" s="25" t="s">
        <v>67</v>
      </c>
      <c r="I9" s="29" t="s">
        <v>475</v>
      </c>
      <c r="J9" s="35"/>
      <c r="K9" s="27"/>
    </row>
    <row r="10" customFormat="false" ht="30" hidden="false" customHeight="true" outlineLevel="0" collapsed="false">
      <c r="A10" s="23" t="s">
        <v>127</v>
      </c>
      <c r="B10" s="24" t="s">
        <v>476</v>
      </c>
      <c r="C10" s="21" t="s">
        <v>8</v>
      </c>
      <c r="D10" s="24" t="s">
        <v>451</v>
      </c>
      <c r="E10" s="24" t="s">
        <v>462</v>
      </c>
      <c r="F10" s="33" t="s">
        <v>453</v>
      </c>
      <c r="G10" s="23" t="s">
        <v>118</v>
      </c>
      <c r="H10" s="25" t="s">
        <v>67</v>
      </c>
      <c r="I10" s="24" t="s">
        <v>477</v>
      </c>
      <c r="J10" s="33"/>
      <c r="K10" s="21"/>
    </row>
    <row r="11" customFormat="false" ht="30" hidden="false" customHeight="true" outlineLevel="0" collapsed="false">
      <c r="A11" s="28" t="s">
        <v>135</v>
      </c>
      <c r="B11" s="29" t="s">
        <v>478</v>
      </c>
      <c r="C11" s="27" t="s">
        <v>8</v>
      </c>
      <c r="D11" s="29" t="s">
        <v>451</v>
      </c>
      <c r="E11" s="29" t="s">
        <v>462</v>
      </c>
      <c r="F11" s="35" t="s">
        <v>453</v>
      </c>
      <c r="G11" s="28" t="s">
        <v>128</v>
      </c>
      <c r="H11" s="25" t="s">
        <v>67</v>
      </c>
      <c r="I11" s="29" t="s">
        <v>479</v>
      </c>
      <c r="J11" s="35"/>
      <c r="K11" s="27"/>
    </row>
    <row r="12" customFormat="false" ht="30" hidden="false" customHeight="true" outlineLevel="0" collapsed="false">
      <c r="A12" s="23" t="s">
        <v>145</v>
      </c>
      <c r="B12" s="24" t="s">
        <v>480</v>
      </c>
      <c r="C12" s="21" t="s">
        <v>8</v>
      </c>
      <c r="D12" s="24" t="s">
        <v>451</v>
      </c>
      <c r="E12" s="24" t="s">
        <v>462</v>
      </c>
      <c r="F12" s="33" t="s">
        <v>453</v>
      </c>
      <c r="G12" s="23" t="s">
        <v>136</v>
      </c>
      <c r="H12" s="25" t="s">
        <v>67</v>
      </c>
      <c r="I12" s="24" t="s">
        <v>481</v>
      </c>
      <c r="J12" s="33"/>
      <c r="K12" s="21"/>
    </row>
    <row r="13" customFormat="false" ht="30" hidden="false" customHeight="true" outlineLevel="0" collapsed="false">
      <c r="A13" s="28" t="s">
        <v>154</v>
      </c>
      <c r="B13" s="29" t="s">
        <v>482</v>
      </c>
      <c r="C13" s="27" t="s">
        <v>8</v>
      </c>
      <c r="D13" s="29" t="s">
        <v>451</v>
      </c>
      <c r="E13" s="29" t="s">
        <v>462</v>
      </c>
      <c r="F13" s="35" t="s">
        <v>453</v>
      </c>
      <c r="G13" s="28" t="s">
        <v>146</v>
      </c>
      <c r="H13" s="25" t="s">
        <v>67</v>
      </c>
      <c r="I13" s="29" t="s">
        <v>483</v>
      </c>
      <c r="J13" s="35"/>
      <c r="K13" s="27"/>
    </row>
    <row r="14" customFormat="false" ht="30" hidden="false" customHeight="true" outlineLevel="0" collapsed="false">
      <c r="A14" s="23" t="s">
        <v>165</v>
      </c>
      <c r="B14" s="24" t="s">
        <v>484</v>
      </c>
      <c r="C14" s="21" t="s">
        <v>8</v>
      </c>
      <c r="D14" s="24" t="s">
        <v>451</v>
      </c>
      <c r="E14" s="24" t="s">
        <v>462</v>
      </c>
      <c r="F14" s="33" t="s">
        <v>453</v>
      </c>
      <c r="G14" s="23" t="s">
        <v>155</v>
      </c>
      <c r="H14" s="25" t="s">
        <v>67</v>
      </c>
      <c r="I14" s="24" t="s">
        <v>485</v>
      </c>
      <c r="J14" s="33"/>
      <c r="K14" s="21"/>
    </row>
    <row r="15" customFormat="false" ht="30" hidden="false" customHeight="true" outlineLevel="0" collapsed="false">
      <c r="A15" s="28" t="s">
        <v>173</v>
      </c>
      <c r="B15" s="29" t="s">
        <v>486</v>
      </c>
      <c r="C15" s="27" t="s">
        <v>8</v>
      </c>
      <c r="D15" s="29" t="s">
        <v>451</v>
      </c>
      <c r="E15" s="29" t="s">
        <v>462</v>
      </c>
      <c r="F15" s="35" t="s">
        <v>453</v>
      </c>
      <c r="G15" s="28" t="s">
        <v>166</v>
      </c>
      <c r="H15" s="25" t="s">
        <v>67</v>
      </c>
      <c r="I15" s="29" t="s">
        <v>487</v>
      </c>
      <c r="J15" s="35"/>
      <c r="K15" s="27"/>
    </row>
    <row r="16" customFormat="false" ht="30" hidden="false" customHeight="true" outlineLevel="0" collapsed="false">
      <c r="A16" s="23" t="s">
        <v>179</v>
      </c>
      <c r="B16" s="24" t="s">
        <v>488</v>
      </c>
      <c r="C16" s="21" t="s">
        <v>8</v>
      </c>
      <c r="D16" s="24" t="s">
        <v>451</v>
      </c>
      <c r="E16" s="24" t="s">
        <v>462</v>
      </c>
      <c r="F16" s="33" t="s">
        <v>453</v>
      </c>
      <c r="G16" s="23" t="s">
        <v>174</v>
      </c>
      <c r="H16" s="25" t="s">
        <v>67</v>
      </c>
      <c r="I16" s="24" t="s">
        <v>489</v>
      </c>
      <c r="J16" s="33"/>
      <c r="K16" s="21"/>
    </row>
    <row r="17" customFormat="false" ht="30" hidden="false" customHeight="true" outlineLevel="0" collapsed="false">
      <c r="A17" s="28" t="s">
        <v>188</v>
      </c>
      <c r="B17" s="29" t="s">
        <v>490</v>
      </c>
      <c r="C17" s="27" t="s">
        <v>8</v>
      </c>
      <c r="D17" s="29" t="s">
        <v>451</v>
      </c>
      <c r="E17" s="29" t="s">
        <v>462</v>
      </c>
      <c r="F17" s="35" t="s">
        <v>453</v>
      </c>
      <c r="G17" s="28" t="s">
        <v>180</v>
      </c>
      <c r="H17" s="25" t="s">
        <v>67</v>
      </c>
      <c r="I17" s="29" t="s">
        <v>491</v>
      </c>
      <c r="J17" s="35"/>
      <c r="K17" s="27"/>
    </row>
    <row r="18" customFormat="false" ht="30" hidden="false" customHeight="true" outlineLevel="0" collapsed="false">
      <c r="A18" s="23" t="s">
        <v>198</v>
      </c>
      <c r="B18" s="24" t="s">
        <v>492</v>
      </c>
      <c r="C18" s="21" t="s">
        <v>8</v>
      </c>
      <c r="D18" s="24" t="s">
        <v>451</v>
      </c>
      <c r="E18" s="24" t="s">
        <v>462</v>
      </c>
      <c r="F18" s="33" t="s">
        <v>453</v>
      </c>
      <c r="G18" s="23" t="s">
        <v>189</v>
      </c>
      <c r="H18" s="25" t="s">
        <v>67</v>
      </c>
      <c r="I18" s="24" t="s">
        <v>493</v>
      </c>
      <c r="J18" s="33"/>
      <c r="K18" s="21"/>
    </row>
    <row r="19" customFormat="false" ht="30" hidden="false" customHeight="true" outlineLevel="0" collapsed="false">
      <c r="A19" s="28" t="s">
        <v>208</v>
      </c>
      <c r="B19" s="29" t="s">
        <v>494</v>
      </c>
      <c r="C19" s="27" t="s">
        <v>8</v>
      </c>
      <c r="D19" s="29" t="s">
        <v>451</v>
      </c>
      <c r="E19" s="29" t="s">
        <v>462</v>
      </c>
      <c r="F19" s="35" t="s">
        <v>453</v>
      </c>
      <c r="G19" s="28" t="s">
        <v>199</v>
      </c>
      <c r="H19" s="25" t="s">
        <v>67</v>
      </c>
      <c r="I19" s="29" t="s">
        <v>495</v>
      </c>
      <c r="J19" s="35"/>
      <c r="K19" s="27"/>
    </row>
    <row r="20" customFormat="false" ht="30" hidden="false" customHeight="true" outlineLevel="0" collapsed="false">
      <c r="A20" s="23" t="s">
        <v>213</v>
      </c>
      <c r="B20" s="24" t="s">
        <v>496</v>
      </c>
      <c r="C20" s="21" t="s">
        <v>8</v>
      </c>
      <c r="D20" s="24" t="s">
        <v>451</v>
      </c>
      <c r="E20" s="24" t="s">
        <v>462</v>
      </c>
      <c r="F20" s="33" t="s">
        <v>453</v>
      </c>
      <c r="G20" s="23" t="s">
        <v>209</v>
      </c>
      <c r="H20" s="25" t="s">
        <v>67</v>
      </c>
      <c r="I20" s="24" t="s">
        <v>497</v>
      </c>
      <c r="J20" s="33"/>
      <c r="K20" s="21"/>
    </row>
    <row r="21" customFormat="false" ht="30" hidden="false" customHeight="true" outlineLevel="0" collapsed="false">
      <c r="A21" s="28" t="s">
        <v>223</v>
      </c>
      <c r="B21" s="29" t="s">
        <v>498</v>
      </c>
      <c r="C21" s="27" t="s">
        <v>8</v>
      </c>
      <c r="D21" s="29" t="s">
        <v>451</v>
      </c>
      <c r="E21" s="29" t="s">
        <v>499</v>
      </c>
      <c r="F21" s="35" t="s">
        <v>453</v>
      </c>
      <c r="G21" s="28" t="s">
        <v>214</v>
      </c>
      <c r="H21" s="25" t="s">
        <v>67</v>
      </c>
      <c r="I21" s="29" t="s">
        <v>500</v>
      </c>
      <c r="J21" s="35"/>
      <c r="K21" s="27"/>
    </row>
    <row r="22" customFormat="false" ht="30" hidden="false" customHeight="true" outlineLevel="0" collapsed="false">
      <c r="A22" s="23" t="s">
        <v>233</v>
      </c>
      <c r="B22" s="24" t="s">
        <v>501</v>
      </c>
      <c r="C22" s="21" t="s">
        <v>8</v>
      </c>
      <c r="D22" s="24" t="s">
        <v>451</v>
      </c>
      <c r="E22" s="24" t="s">
        <v>499</v>
      </c>
      <c r="F22" s="33" t="s">
        <v>453</v>
      </c>
      <c r="G22" s="23" t="s">
        <v>224</v>
      </c>
      <c r="H22" s="25" t="s">
        <v>67</v>
      </c>
      <c r="I22" s="24" t="s">
        <v>502</v>
      </c>
      <c r="J22" s="33"/>
      <c r="K22" s="21"/>
    </row>
    <row r="23" customFormat="false" ht="30" hidden="false" customHeight="true" outlineLevel="0" collapsed="false">
      <c r="A23" s="28" t="s">
        <v>238</v>
      </c>
      <c r="B23" s="29" t="s">
        <v>503</v>
      </c>
      <c r="C23" s="27" t="s">
        <v>8</v>
      </c>
      <c r="D23" s="29" t="s">
        <v>451</v>
      </c>
      <c r="E23" s="29" t="s">
        <v>499</v>
      </c>
      <c r="F23" s="35" t="s">
        <v>453</v>
      </c>
      <c r="G23" s="28" t="s">
        <v>234</v>
      </c>
      <c r="H23" s="25" t="s">
        <v>67</v>
      </c>
      <c r="I23" s="29" t="s">
        <v>504</v>
      </c>
      <c r="J23" s="35"/>
      <c r="K23" s="27"/>
    </row>
    <row r="24" customFormat="false" ht="30" hidden="false" customHeight="true" outlineLevel="0" collapsed="false">
      <c r="A24" s="23" t="s">
        <v>247</v>
      </c>
      <c r="B24" s="24" t="s">
        <v>505</v>
      </c>
      <c r="C24" s="21" t="s">
        <v>8</v>
      </c>
      <c r="D24" s="24" t="s">
        <v>451</v>
      </c>
      <c r="E24" s="24" t="s">
        <v>499</v>
      </c>
      <c r="F24" s="33" t="s">
        <v>453</v>
      </c>
      <c r="G24" s="23" t="s">
        <v>239</v>
      </c>
      <c r="H24" s="25" t="s">
        <v>67</v>
      </c>
      <c r="I24" s="24" t="s">
        <v>506</v>
      </c>
      <c r="J24" s="33"/>
      <c r="K24" s="21"/>
    </row>
    <row r="25" customFormat="false" ht="30" hidden="false" customHeight="true" outlineLevel="0" collapsed="false">
      <c r="A25" s="28" t="s">
        <v>254</v>
      </c>
      <c r="B25" s="29" t="s">
        <v>507</v>
      </c>
      <c r="C25" s="27" t="s">
        <v>8</v>
      </c>
      <c r="D25" s="29" t="s">
        <v>451</v>
      </c>
      <c r="E25" s="29" t="s">
        <v>499</v>
      </c>
      <c r="F25" s="35" t="s">
        <v>453</v>
      </c>
      <c r="G25" s="28" t="s">
        <v>248</v>
      </c>
      <c r="H25" s="25" t="s">
        <v>67</v>
      </c>
      <c r="I25" s="29" t="s">
        <v>508</v>
      </c>
      <c r="J25" s="35"/>
      <c r="K25" s="27"/>
    </row>
    <row r="26" customFormat="false" ht="30" hidden="false" customHeight="true" outlineLevel="0" collapsed="false">
      <c r="A26" s="23" t="s">
        <v>260</v>
      </c>
      <c r="B26" s="24" t="s">
        <v>509</v>
      </c>
      <c r="C26" s="21" t="s">
        <v>8</v>
      </c>
      <c r="D26" s="24" t="s">
        <v>451</v>
      </c>
      <c r="E26" s="24" t="s">
        <v>499</v>
      </c>
      <c r="F26" s="33" t="s">
        <v>453</v>
      </c>
      <c r="G26" s="23" t="s">
        <v>255</v>
      </c>
      <c r="H26" s="25" t="s">
        <v>67</v>
      </c>
      <c r="I26" s="24" t="s">
        <v>510</v>
      </c>
      <c r="J26" s="33"/>
      <c r="K26" s="21"/>
    </row>
    <row r="27" customFormat="false" ht="30" hidden="false" customHeight="true" outlineLevel="0" collapsed="false">
      <c r="A27" s="28" t="s">
        <v>267</v>
      </c>
      <c r="B27" s="29" t="s">
        <v>511</v>
      </c>
      <c r="C27" s="27" t="s">
        <v>8</v>
      </c>
      <c r="D27" s="29" t="s">
        <v>451</v>
      </c>
      <c r="E27" s="29" t="s">
        <v>499</v>
      </c>
      <c r="F27" s="35" t="s">
        <v>453</v>
      </c>
      <c r="G27" s="28" t="s">
        <v>261</v>
      </c>
      <c r="H27" s="25" t="s">
        <v>67</v>
      </c>
      <c r="I27" s="29" t="s">
        <v>512</v>
      </c>
      <c r="J27" s="35"/>
      <c r="K27" s="27"/>
    </row>
    <row r="28" customFormat="false" ht="30" hidden="false" customHeight="true" outlineLevel="0" collapsed="false">
      <c r="A28" s="23" t="s">
        <v>272</v>
      </c>
      <c r="B28" s="24" t="s">
        <v>513</v>
      </c>
      <c r="C28" s="21" t="s">
        <v>8</v>
      </c>
      <c r="D28" s="24" t="s">
        <v>451</v>
      </c>
      <c r="E28" s="24" t="s">
        <v>499</v>
      </c>
      <c r="F28" s="33" t="s">
        <v>453</v>
      </c>
      <c r="G28" s="23" t="s">
        <v>268</v>
      </c>
      <c r="H28" s="25" t="s">
        <v>67</v>
      </c>
      <c r="I28" s="24" t="s">
        <v>514</v>
      </c>
      <c r="J28" s="33"/>
      <c r="K28" s="21"/>
    </row>
    <row r="29" customFormat="false" ht="30" hidden="false" customHeight="true" outlineLevel="0" collapsed="false">
      <c r="A29" s="28" t="s">
        <v>278</v>
      </c>
      <c r="B29" s="29" t="s">
        <v>515</v>
      </c>
      <c r="C29" s="27" t="s">
        <v>8</v>
      </c>
      <c r="D29" s="29" t="s">
        <v>451</v>
      </c>
      <c r="E29" s="29" t="s">
        <v>499</v>
      </c>
      <c r="F29" s="35" t="s">
        <v>453</v>
      </c>
      <c r="G29" s="28" t="s">
        <v>273</v>
      </c>
      <c r="H29" s="25" t="s">
        <v>67</v>
      </c>
      <c r="I29" s="29" t="s">
        <v>516</v>
      </c>
      <c r="J29" s="35"/>
      <c r="K29" s="27"/>
    </row>
    <row r="30" customFormat="false" ht="30" hidden="false" customHeight="true" outlineLevel="0" collapsed="false">
      <c r="A30" s="23" t="s">
        <v>285</v>
      </c>
      <c r="B30" s="24" t="s">
        <v>517</v>
      </c>
      <c r="C30" s="21" t="s">
        <v>8</v>
      </c>
      <c r="D30" s="24" t="s">
        <v>451</v>
      </c>
      <c r="E30" s="24" t="s">
        <v>499</v>
      </c>
      <c r="F30" s="33" t="s">
        <v>453</v>
      </c>
      <c r="G30" s="23" t="s">
        <v>279</v>
      </c>
      <c r="H30" s="25" t="s">
        <v>67</v>
      </c>
      <c r="I30" s="24" t="s">
        <v>518</v>
      </c>
      <c r="J30" s="33"/>
      <c r="K30" s="21"/>
    </row>
    <row r="31" customFormat="false" ht="30" hidden="false" customHeight="true" outlineLevel="0" collapsed="false">
      <c r="A31" s="28" t="s">
        <v>292</v>
      </c>
      <c r="B31" s="29" t="s">
        <v>519</v>
      </c>
      <c r="C31" s="27" t="s">
        <v>8</v>
      </c>
      <c r="D31" s="29" t="s">
        <v>451</v>
      </c>
      <c r="E31" s="29" t="s">
        <v>499</v>
      </c>
      <c r="F31" s="35" t="s">
        <v>453</v>
      </c>
      <c r="G31" s="28" t="s">
        <v>286</v>
      </c>
      <c r="H31" s="25" t="s">
        <v>67</v>
      </c>
      <c r="I31" s="29" t="s">
        <v>520</v>
      </c>
      <c r="J31" s="35"/>
      <c r="K31" s="27"/>
    </row>
    <row r="32" customFormat="false" ht="30" hidden="false" customHeight="true" outlineLevel="0" collapsed="false">
      <c r="A32" s="23" t="s">
        <v>298</v>
      </c>
      <c r="B32" s="24" t="s">
        <v>521</v>
      </c>
      <c r="C32" s="21" t="s">
        <v>8</v>
      </c>
      <c r="D32" s="24" t="s">
        <v>451</v>
      </c>
      <c r="E32" s="24" t="s">
        <v>499</v>
      </c>
      <c r="F32" s="33" t="s">
        <v>453</v>
      </c>
      <c r="G32" s="23" t="s">
        <v>293</v>
      </c>
      <c r="H32" s="25" t="s">
        <v>67</v>
      </c>
      <c r="I32" s="24" t="s">
        <v>522</v>
      </c>
      <c r="J32" s="33"/>
      <c r="K32" s="21"/>
    </row>
    <row r="33" customFormat="false" ht="30" hidden="false" customHeight="true" outlineLevel="0" collapsed="false">
      <c r="A33" s="28" t="s">
        <v>303</v>
      </c>
      <c r="B33" s="29" t="s">
        <v>523</v>
      </c>
      <c r="C33" s="27" t="s">
        <v>8</v>
      </c>
      <c r="D33" s="29" t="s">
        <v>451</v>
      </c>
      <c r="E33" s="29" t="s">
        <v>499</v>
      </c>
      <c r="F33" s="35" t="s">
        <v>453</v>
      </c>
      <c r="G33" s="28" t="s">
        <v>299</v>
      </c>
      <c r="H33" s="25" t="s">
        <v>67</v>
      </c>
      <c r="I33" s="29" t="s">
        <v>524</v>
      </c>
      <c r="J33" s="35"/>
      <c r="K33" s="27"/>
    </row>
    <row r="34" customFormat="false" ht="30" hidden="false" customHeight="true" outlineLevel="0" collapsed="false">
      <c r="A34" s="23" t="s">
        <v>308</v>
      </c>
      <c r="B34" s="24" t="s">
        <v>525</v>
      </c>
      <c r="C34" s="21" t="s">
        <v>8</v>
      </c>
      <c r="D34" s="24" t="s">
        <v>451</v>
      </c>
      <c r="E34" s="24" t="s">
        <v>499</v>
      </c>
      <c r="F34" s="33" t="s">
        <v>453</v>
      </c>
      <c r="G34" s="23" t="s">
        <v>304</v>
      </c>
      <c r="H34" s="25" t="s">
        <v>67</v>
      </c>
      <c r="I34" s="24" t="s">
        <v>526</v>
      </c>
      <c r="J34" s="33"/>
      <c r="K34" s="21"/>
    </row>
    <row r="35" customFormat="false" ht="30" hidden="false" customHeight="true" outlineLevel="0" collapsed="false">
      <c r="A35" s="28" t="s">
        <v>319</v>
      </c>
      <c r="B35" s="29" t="s">
        <v>527</v>
      </c>
      <c r="C35" s="27" t="s">
        <v>8</v>
      </c>
      <c r="D35" s="29" t="s">
        <v>451</v>
      </c>
      <c r="E35" s="29" t="s">
        <v>499</v>
      </c>
      <c r="F35" s="35" t="s">
        <v>453</v>
      </c>
      <c r="G35" s="28" t="s">
        <v>309</v>
      </c>
      <c r="H35" s="25" t="s">
        <v>67</v>
      </c>
      <c r="I35" s="29" t="s">
        <v>528</v>
      </c>
      <c r="J35" s="35"/>
      <c r="K35" s="27"/>
    </row>
    <row r="36" customFormat="false" ht="30" hidden="false" customHeight="true" outlineLevel="0" collapsed="false">
      <c r="A36" s="23" t="s">
        <v>329</v>
      </c>
      <c r="B36" s="24" t="s">
        <v>529</v>
      </c>
      <c r="C36" s="21" t="s">
        <v>8</v>
      </c>
      <c r="D36" s="24" t="s">
        <v>451</v>
      </c>
      <c r="E36" s="24" t="s">
        <v>499</v>
      </c>
      <c r="F36" s="33" t="s">
        <v>453</v>
      </c>
      <c r="G36" s="23" t="s">
        <v>320</v>
      </c>
      <c r="H36" s="25" t="s">
        <v>67</v>
      </c>
      <c r="I36" s="24" t="s">
        <v>530</v>
      </c>
      <c r="J36" s="33"/>
      <c r="K36" s="21"/>
    </row>
    <row r="37" customFormat="false" ht="30" hidden="false" customHeight="true" outlineLevel="0" collapsed="false">
      <c r="A37" s="28" t="s">
        <v>336</v>
      </c>
      <c r="B37" s="29" t="s">
        <v>531</v>
      </c>
      <c r="C37" s="27" t="s">
        <v>8</v>
      </c>
      <c r="D37" s="29" t="s">
        <v>451</v>
      </c>
      <c r="E37" s="29" t="s">
        <v>499</v>
      </c>
      <c r="F37" s="35" t="s">
        <v>453</v>
      </c>
      <c r="G37" s="28" t="s">
        <v>330</v>
      </c>
      <c r="H37" s="25" t="s">
        <v>67</v>
      </c>
      <c r="I37" s="29" t="s">
        <v>532</v>
      </c>
      <c r="J37" s="35"/>
      <c r="K37" s="27"/>
    </row>
    <row r="38" customFormat="false" ht="30" hidden="false" customHeight="true" outlineLevel="0" collapsed="false">
      <c r="A38" s="23" t="s">
        <v>343</v>
      </c>
      <c r="B38" s="24" t="s">
        <v>533</v>
      </c>
      <c r="C38" s="21" t="s">
        <v>8</v>
      </c>
      <c r="D38" s="24" t="s">
        <v>451</v>
      </c>
      <c r="E38" s="24" t="s">
        <v>499</v>
      </c>
      <c r="F38" s="33" t="s">
        <v>453</v>
      </c>
      <c r="G38" s="23" t="s">
        <v>337</v>
      </c>
      <c r="H38" s="25" t="s">
        <v>67</v>
      </c>
      <c r="I38" s="24" t="s">
        <v>534</v>
      </c>
      <c r="J38" s="33"/>
      <c r="K38" s="21"/>
    </row>
    <row r="39" customFormat="false" ht="30" hidden="false" customHeight="true" outlineLevel="0" collapsed="false">
      <c r="A39" s="28" t="s">
        <v>353</v>
      </c>
      <c r="B39" s="29" t="s">
        <v>535</v>
      </c>
      <c r="C39" s="27" t="s">
        <v>8</v>
      </c>
      <c r="D39" s="29" t="s">
        <v>451</v>
      </c>
      <c r="E39" s="29" t="s">
        <v>499</v>
      </c>
      <c r="F39" s="35" t="s">
        <v>453</v>
      </c>
      <c r="G39" s="28" t="s">
        <v>344</v>
      </c>
      <c r="H39" s="25" t="s">
        <v>67</v>
      </c>
      <c r="I39" s="29" t="s">
        <v>536</v>
      </c>
      <c r="J39" s="35"/>
      <c r="K39" s="27"/>
    </row>
    <row r="40" customFormat="false" ht="30" hidden="false" customHeight="true" outlineLevel="0" collapsed="false">
      <c r="A40" s="23" t="s">
        <v>365</v>
      </c>
      <c r="B40" s="24" t="s">
        <v>537</v>
      </c>
      <c r="C40" s="21" t="s">
        <v>8</v>
      </c>
      <c r="D40" s="24" t="s">
        <v>451</v>
      </c>
      <c r="E40" s="24" t="s">
        <v>499</v>
      </c>
      <c r="F40" s="33" t="s">
        <v>453</v>
      </c>
      <c r="G40" s="23" t="s">
        <v>356</v>
      </c>
      <c r="H40" s="25" t="s">
        <v>67</v>
      </c>
      <c r="I40" s="24" t="s">
        <v>538</v>
      </c>
      <c r="J40" s="33"/>
      <c r="K40" s="21"/>
    </row>
    <row r="41" customFormat="false" ht="30" hidden="false" customHeight="true" outlineLevel="0" collapsed="false">
      <c r="A41" s="28" t="s">
        <v>375</v>
      </c>
      <c r="B41" s="29" t="s">
        <v>539</v>
      </c>
      <c r="C41" s="27" t="s">
        <v>8</v>
      </c>
      <c r="D41" s="29" t="s">
        <v>451</v>
      </c>
      <c r="E41" s="29" t="s">
        <v>499</v>
      </c>
      <c r="F41" s="35" t="s">
        <v>453</v>
      </c>
      <c r="G41" s="28" t="s">
        <v>366</v>
      </c>
      <c r="H41" s="25" t="s">
        <v>67</v>
      </c>
      <c r="I41" s="29" t="s">
        <v>540</v>
      </c>
      <c r="J41" s="35"/>
      <c r="K41" s="27"/>
    </row>
    <row r="42" customFormat="false" ht="30" hidden="false" customHeight="true" outlineLevel="0" collapsed="false">
      <c r="A42" s="23" t="s">
        <v>384</v>
      </c>
      <c r="B42" s="24" t="s">
        <v>541</v>
      </c>
      <c r="C42" s="21" t="s">
        <v>8</v>
      </c>
      <c r="D42" s="24" t="s">
        <v>451</v>
      </c>
      <c r="E42" s="24" t="s">
        <v>499</v>
      </c>
      <c r="F42" s="33" t="s">
        <v>453</v>
      </c>
      <c r="G42" s="23" t="s">
        <v>376</v>
      </c>
      <c r="H42" s="25" t="s">
        <v>67</v>
      </c>
      <c r="I42" s="24" t="s">
        <v>542</v>
      </c>
      <c r="J42" s="33"/>
      <c r="K42" s="21"/>
    </row>
    <row r="43" customFormat="false" ht="30" hidden="false" customHeight="true" outlineLevel="0" collapsed="false">
      <c r="A43" s="28" t="s">
        <v>394</v>
      </c>
      <c r="B43" s="29" t="s">
        <v>543</v>
      </c>
      <c r="C43" s="27" t="s">
        <v>8</v>
      </c>
      <c r="D43" s="29" t="s">
        <v>451</v>
      </c>
      <c r="E43" s="29" t="s">
        <v>499</v>
      </c>
      <c r="F43" s="35" t="s">
        <v>453</v>
      </c>
      <c r="G43" s="28" t="s">
        <v>385</v>
      </c>
      <c r="H43" s="25" t="s">
        <v>67</v>
      </c>
      <c r="I43" s="29" t="s">
        <v>544</v>
      </c>
      <c r="J43" s="35"/>
      <c r="K43" s="27"/>
    </row>
    <row r="44" customFormat="false" ht="30" hidden="false" customHeight="true" outlineLevel="0" collapsed="false">
      <c r="A44" s="23" t="s">
        <v>403</v>
      </c>
      <c r="B44" s="24" t="s">
        <v>545</v>
      </c>
      <c r="C44" s="21" t="s">
        <v>8</v>
      </c>
      <c r="D44" s="24" t="s">
        <v>451</v>
      </c>
      <c r="E44" s="24" t="s">
        <v>499</v>
      </c>
      <c r="F44" s="33" t="s">
        <v>453</v>
      </c>
      <c r="G44" s="23" t="s">
        <v>395</v>
      </c>
      <c r="H44" s="25" t="s">
        <v>67</v>
      </c>
      <c r="I44" s="24" t="s">
        <v>546</v>
      </c>
      <c r="J44" s="33"/>
      <c r="K44" s="21"/>
    </row>
    <row r="45" customFormat="false" ht="30" hidden="false" customHeight="true" outlineLevel="0" collapsed="false">
      <c r="A45" s="28" t="s">
        <v>414</v>
      </c>
      <c r="B45" s="29" t="s">
        <v>547</v>
      </c>
      <c r="C45" s="27" t="s">
        <v>8</v>
      </c>
      <c r="D45" s="29" t="s">
        <v>451</v>
      </c>
      <c r="E45" s="29" t="s">
        <v>499</v>
      </c>
      <c r="F45" s="35" t="s">
        <v>453</v>
      </c>
      <c r="G45" s="28" t="s">
        <v>404</v>
      </c>
      <c r="H45" s="25" t="s">
        <v>67</v>
      </c>
      <c r="I45" s="29" t="s">
        <v>548</v>
      </c>
      <c r="J45" s="35"/>
      <c r="K45" s="27"/>
    </row>
    <row r="46" customFormat="false" ht="30" hidden="false" customHeight="true" outlineLevel="0" collapsed="false">
      <c r="A46" s="23" t="s">
        <v>419</v>
      </c>
      <c r="B46" s="24" t="s">
        <v>549</v>
      </c>
      <c r="C46" s="21" t="s">
        <v>8</v>
      </c>
      <c r="D46" s="24" t="s">
        <v>451</v>
      </c>
      <c r="E46" s="24" t="s">
        <v>499</v>
      </c>
      <c r="F46" s="33" t="s">
        <v>453</v>
      </c>
      <c r="G46" s="23" t="s">
        <v>415</v>
      </c>
      <c r="H46" s="25" t="s">
        <v>67</v>
      </c>
      <c r="I46" s="24" t="s">
        <v>550</v>
      </c>
      <c r="J46" s="33"/>
      <c r="K46" s="21"/>
    </row>
    <row r="47" customFormat="false" ht="30" hidden="false" customHeight="true" outlineLevel="0" collapsed="false">
      <c r="A47" s="28" t="s">
        <v>424</v>
      </c>
      <c r="B47" s="29" t="s">
        <v>551</v>
      </c>
      <c r="C47" s="27" t="s">
        <v>8</v>
      </c>
      <c r="D47" s="29" t="s">
        <v>451</v>
      </c>
      <c r="E47" s="29" t="s">
        <v>499</v>
      </c>
      <c r="F47" s="35" t="s">
        <v>453</v>
      </c>
      <c r="G47" s="28" t="s">
        <v>420</v>
      </c>
      <c r="H47" s="25" t="s">
        <v>67</v>
      </c>
      <c r="I47" s="29" t="s">
        <v>552</v>
      </c>
      <c r="J47" s="35"/>
      <c r="K47" s="27"/>
    </row>
  </sheetData>
  <autoFilter ref="A1:K47"/>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I8"/>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2" min="2" style="0" width="30"/>
    <col collapsed="false" customWidth="true" hidden="false" outlineLevel="0" max="3" min="3" style="0" width="9"/>
    <col collapsed="false" customWidth="true" hidden="false" outlineLevel="0" max="4" min="4" style="0" width="10"/>
    <col collapsed="false" customWidth="true" hidden="false" outlineLevel="0" max="5" min="5" style="0" width="9"/>
    <col collapsed="false" customWidth="true" hidden="false" outlineLevel="0" max="6" min="6" style="0" width="12"/>
    <col collapsed="false" customWidth="true" hidden="false" outlineLevel="0" max="7" min="7" style="0" width="18"/>
    <col collapsed="false" customWidth="true" hidden="false" outlineLevel="0" max="8" min="8" style="0" width="40"/>
    <col collapsed="false" customWidth="true" hidden="false" outlineLevel="0" max="9" min="9" style="0" width="26"/>
  </cols>
  <sheetData>
    <row r="1" customFormat="false" ht="24" hidden="false" customHeight="true" outlineLevel="0" collapsed="false">
      <c r="A1" s="36" t="s">
        <v>553</v>
      </c>
      <c r="B1" s="36"/>
      <c r="C1" s="36"/>
      <c r="D1" s="36"/>
      <c r="E1" s="36"/>
      <c r="F1" s="36"/>
      <c r="G1" s="36"/>
      <c r="H1" s="36"/>
      <c r="I1" s="36"/>
    </row>
    <row r="3" customFormat="false" ht="19.5" hidden="false" customHeight="true" outlineLevel="0" collapsed="false">
      <c r="A3" s="6" t="s">
        <v>448</v>
      </c>
      <c r="B3" s="6" t="s">
        <v>554</v>
      </c>
      <c r="C3" s="6" t="s">
        <v>555</v>
      </c>
      <c r="D3" s="6" t="s">
        <v>556</v>
      </c>
      <c r="E3" s="6" t="s">
        <v>19</v>
      </c>
      <c r="F3" s="6" t="s">
        <v>557</v>
      </c>
      <c r="G3" s="6" t="s">
        <v>558</v>
      </c>
      <c r="H3" s="6" t="s">
        <v>559</v>
      </c>
      <c r="I3" s="6" t="s">
        <v>560</v>
      </c>
    </row>
    <row r="4" customFormat="false" ht="54" hidden="false" customHeight="true" outlineLevel="0" collapsed="false">
      <c r="A4" s="26" t="s">
        <v>80</v>
      </c>
      <c r="B4" s="27" t="s">
        <v>561</v>
      </c>
      <c r="C4" s="25" t="s">
        <v>562</v>
      </c>
      <c r="D4" s="22" t="s">
        <v>563</v>
      </c>
      <c r="E4" s="28" t="s">
        <v>564</v>
      </c>
      <c r="F4" s="28" t="s">
        <v>565</v>
      </c>
      <c r="G4" s="29" t="s">
        <v>566</v>
      </c>
      <c r="H4" s="27" t="s">
        <v>567</v>
      </c>
      <c r="I4" s="29" t="s">
        <v>568</v>
      </c>
    </row>
    <row r="5" customFormat="false" ht="54" hidden="false" customHeight="true" outlineLevel="0" collapsed="false">
      <c r="A5" s="20" t="s">
        <v>437</v>
      </c>
      <c r="B5" s="21" t="s">
        <v>569</v>
      </c>
      <c r="C5" s="25" t="s">
        <v>562</v>
      </c>
      <c r="D5" s="37" t="s">
        <v>564</v>
      </c>
      <c r="E5" s="23" t="s">
        <v>564</v>
      </c>
      <c r="F5" s="23" t="s">
        <v>570</v>
      </c>
      <c r="G5" s="24" t="s">
        <v>432</v>
      </c>
      <c r="H5" s="21" t="s">
        <v>571</v>
      </c>
      <c r="I5" s="24" t="s">
        <v>572</v>
      </c>
    </row>
    <row r="6" customFormat="false" ht="54" hidden="false" customHeight="true" outlineLevel="0" collapsed="false">
      <c r="A6" s="26" t="s">
        <v>354</v>
      </c>
      <c r="B6" s="27" t="s">
        <v>573</v>
      </c>
      <c r="C6" s="25" t="s">
        <v>562</v>
      </c>
      <c r="D6" s="38" t="s">
        <v>574</v>
      </c>
      <c r="E6" s="28" t="s">
        <v>574</v>
      </c>
      <c r="F6" s="28" t="s">
        <v>575</v>
      </c>
      <c r="G6" s="29" t="s">
        <v>576</v>
      </c>
      <c r="H6" s="29" t="s">
        <v>577</v>
      </c>
      <c r="I6" s="29" t="s">
        <v>578</v>
      </c>
    </row>
    <row r="8" customFormat="false" ht="26.85" hidden="false" customHeight="true" outlineLevel="0" collapsed="false">
      <c r="A8" s="12" t="s">
        <v>579</v>
      </c>
      <c r="B8" s="12"/>
      <c r="C8" s="12"/>
      <c r="D8" s="12"/>
      <c r="E8" s="12"/>
      <c r="F8" s="12"/>
      <c r="G8" s="12"/>
      <c r="H8" s="12"/>
      <c r="I8" s="12"/>
    </row>
  </sheetData>
  <mergeCells count="2">
    <mergeCell ref="A1:I1"/>
    <mergeCell ref="A8:I8"/>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LibreOffice/26.2.4.2$Linux_X86_64 LibreOffice_project/620$Build-2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2026-07-06T07:27:30Z</dcterms:created>
  <dc:creator>openpyxl</dc:creator>
  <dc:description/>
  <dc:language>en-US</dc:language>
  <cp:lastModifiedBy/>
  <dcterms:modified xsi:type="dcterms:W3CDTF">2026-07-06T07:27:30Z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